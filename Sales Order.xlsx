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 activeTab="3"/>
  </bookViews>
  <sheets>
    <sheet name="Sales Order(original data)" sheetId="7" r:id="rId1"/>
    <sheet name="Sales Order(Clean Data)" sheetId="1" r:id="rId2"/>
    <sheet name="Summary" sheetId="8" r:id="rId3"/>
    <sheet name="Pivot table" sheetId="6" r:id="rId4"/>
  </sheets>
  <definedNames>
    <definedName name="_xlnm._FilterDatabase" localSheetId="1" hidden="1">'Sales Order(Clean Data)'!$A$1:$G$44</definedName>
  </definedNames>
  <calcPr calcId="152511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B7" i="8" l="1"/>
  <c r="J10" i="1" l="1"/>
  <c r="J9" i="1"/>
  <c r="J8" i="1"/>
  <c r="J7" i="1"/>
  <c r="J6" i="1"/>
</calcChain>
</file>

<file path=xl/sharedStrings.xml><?xml version="1.0" encoding="utf-8"?>
<sst xmlns="http://schemas.openxmlformats.org/spreadsheetml/2006/main" count="295" uniqueCount="40">
  <si>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</si>
  <si>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</si>
  <si>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</si>
  <si>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</si>
  <si>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</si>
  <si>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</si>
  <si>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</si>
  <si>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</si>
  <si>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</si>
  <si>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</si>
  <si>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</si>
  <si>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</si>
  <si>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</si>
  <si>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</si>
  <si>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</si>
  <si>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</si>
  <si>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</si>
  <si>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</si>
  <si>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</si>
  <si>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OrderDate</t>
  </si>
  <si>
    <t>Region</t>
  </si>
  <si>
    <t>Rep</t>
  </si>
  <si>
    <t>Item</t>
  </si>
  <si>
    <t>Units</t>
  </si>
  <si>
    <t>Unit Cost</t>
  </si>
  <si>
    <t>Total</t>
  </si>
  <si>
    <t>Average</t>
  </si>
  <si>
    <t>Max Value</t>
  </si>
  <si>
    <t>Min Value</t>
  </si>
  <si>
    <t>Count</t>
  </si>
  <si>
    <t>east</t>
  </si>
  <si>
    <t>central</t>
  </si>
  <si>
    <t>west</t>
  </si>
  <si>
    <t>Row Labels</t>
  </si>
  <si>
    <t>Grand Total</t>
  </si>
  <si>
    <t>Sum of Total</t>
  </si>
  <si>
    <t>Column Labels</t>
  </si>
  <si>
    <t>EAST</t>
  </si>
  <si>
    <t>pencil</t>
  </si>
  <si>
    <t>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</si>
</sst>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0_);\(0.00\)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1" applyNumberFormat="1" applyFont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164" fontId="2" fillId="0" borderId="5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0" fontId="0" fillId="0" borderId="7" xfId="0" applyBorder="1"/>
    <xf numFmtId="14" fontId="0" fillId="0" borderId="7" xfId="0" applyNumberFormat="1" applyBorder="1"/>
    <xf numFmtId="1" fontId="2" fillId="0" borderId="7" xfId="0" applyNumberFormat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2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2" fillId="0" borderId="12" xfId="0" applyNumberFormat="1" applyFont="1" applyBorder="1" applyAlignment="1">
      <alignment vertical="center"/>
    </xf>
    <xf numFmtId="14" fontId="2" fillId="0" borderId="14" xfId="0" applyNumberFormat="1" applyFont="1" applyBorder="1" applyAlignment="1">
      <alignment vertical="center"/>
    </xf>
    <xf numFmtId="14" fontId="2" fillId="0" borderId="16" xfId="0" applyNumberFormat="1" applyFont="1" applyBorder="1" applyAlignment="1">
      <alignment vertical="center"/>
    </xf>
    <xf numFmtId="0" fontId="0" fillId="0" borderId="0" xfId="0" pivotButton="1"/>
    <xf numFmtId="14" fontId="2" fillId="0" borderId="9" xfId="0" applyNumberFormat="1" applyFont="1" applyBorder="1" applyAlignment="1">
      <alignment vertical="center"/>
    </xf>
    <xf numFmtId="2" fontId="2" fillId="0" borderId="8" xfId="1" applyNumberFormat="1" applyFont="1" applyBorder="1" applyAlignment="1">
      <alignment vertical="center"/>
    </xf>
    <xf numFmtId="14" fontId="2" fillId="0" borderId="18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1" fontId="2" fillId="0" borderId="11" xfId="0" applyNumberFormat="1" applyFont="1" applyBorder="1" applyAlignment="1" applyProtection="1">
      <alignment horizontal="center" vertical="center"/>
      <protection locked="0"/>
    </xf>
    <xf numFmtId="2" fontId="2" fillId="0" borderId="19" xfId="0" applyNumberFormat="1" applyFont="1" applyBorder="1" applyAlignment="1">
      <alignment horizontal="center" vertical="center"/>
    </xf>
    <xf numFmtId="14" fontId="2" fillId="0" borderId="2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1" fontId="2" fillId="0" borderId="10" xfId="0" applyNumberFormat="1" applyFont="1" applyBorder="1" applyAlignment="1">
      <alignment horizontal="center" vertical="center"/>
    </xf>
    <xf numFmtId="164" fontId="2" fillId="0" borderId="10" xfId="1" applyNumberFormat="1" applyFont="1" applyBorder="1" applyAlignment="1">
      <alignment vertical="center"/>
    </xf>
    <xf numFmtId="2" fontId="2" fillId="0" borderId="21" xfId="1" applyNumberFormat="1" applyFont="1" applyBorder="1" applyAlignment="1">
      <alignment vertical="center"/>
    </xf>
    <xf numFmtId="14" fontId="0" fillId="0" borderId="0" xfId="0" applyNumberFormat="1" applyAlignment="1">
      <alignment horizontal="left"/>
    </xf>
    <xf numFmtId="165" fontId="2" fillId="0" borderId="1" xfId="0" applyNumberFormat="1" applyFont="1" applyBorder="1" applyAlignment="1">
      <alignment vertical="center"/>
    </xf>
    <xf numFmtId="14" fontId="0" fillId="0" borderId="7" xfId="0" applyNumberFormat="1" applyBorder="1" applyAlignment="1">
      <alignment horizontal="left"/>
    </xf>
    <xf numFmtId="0" fontId="0" fillId="0" borderId="7" xfId="0" applyNumberFormat="1" applyBorder="1"/>
    <xf numFmtId="0" fontId="5" fillId="2" borderId="7" xfId="0" applyFont="1" applyFill="1" applyBorder="1" applyAlignment="1">
      <alignment horizontal="left" vertical="center"/>
    </xf>
    <xf numFmtId="2" fontId="5" fillId="2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2" fontId="2" fillId="0" borderId="13" xfId="0" applyNumberFormat="1" applyFont="1" applyBorder="1"/>
    <xf numFmtId="2" fontId="2" fillId="0" borderId="15" xfId="0" applyNumberFormat="1" applyFont="1" applyBorder="1"/>
    <xf numFmtId="2" fontId="2" fillId="0" borderId="17" xfId="0" applyNumberFormat="1" applyFont="1" applyBorder="1"/>
  </cellXfs>
  <cellStyles count="2">
    <cellStyle name="Comma" xfId="1" builtinId="3"/>
    <cellStyle name="Normal" xfId="0" builtinId="0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0.00_);\(0.00\)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9" formatCode="m/d/yyyy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Units by Item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7231621247274206E-2"/>
          <c:y val="3.3886309715270339E-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Binder</c:v>
              </c:pt>
              <c:pt idx="1">
                <c:v>Desk</c:v>
              </c:pt>
              <c:pt idx="2">
                <c:v>Pen</c:v>
              </c:pt>
              <c:pt idx="3">
                <c:v>Pen Set</c:v>
              </c:pt>
              <c:pt idx="4">
                <c:v>Pencil</c:v>
              </c:pt>
            </c:strLit>
          </c:cat>
          <c:val>
            <c:numLit>
              <c:formatCode>General</c:formatCode>
              <c:ptCount val="5"/>
              <c:pt idx="0">
                <c:v>722</c:v>
              </c:pt>
              <c:pt idx="1">
                <c:v>10</c:v>
              </c:pt>
              <c:pt idx="2">
                <c:v>278</c:v>
              </c:pt>
              <c:pt idx="3">
                <c:v>395</c:v>
              </c:pt>
              <c:pt idx="4">
                <c:v>716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805392"/>
        <c:axId val="352808528"/>
      </c:barChart>
      <c:catAx>
        <c:axId val="3528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08528"/>
        <c:crosses val="autoZero"/>
        <c:auto val="1"/>
        <c:lblAlgn val="ctr"/>
        <c:lblOffset val="100"/>
        <c:noMultiLvlLbl val="0"/>
      </c:catAx>
      <c:valAx>
        <c:axId val="3528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0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99146</xdr:colOff>
      <xdr:row>2</xdr:row>
      <xdr:rowOff>30417</xdr:rowOff>
    </xdr:from>
    <xdr:to>
      <xdr:col>11</xdr:col>
      <xdr:colOff>306760</xdr:colOff>
      <xdr:row>14</xdr:row>
      <xdr:rowOff>134321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rde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968.680054976852" createdVersion="5" refreshedVersion="5" minRefreshableVersion="3" recordCount="43">
  <cacheSource type="worksheet">
    <worksheetSource name="Table1" r:id="rId2"/>
  </cacheSource>
  <cacheFields count="7">
    <cacheField name="OrderDate" numFmtId="14">
      <sharedItems containsSemiMixedTypes="0" containsNonDate="0" containsDate="1" containsString="0" minDate="2024-01-06T00:00:00" maxDate="2025-12-22T00:00:00" count="43">
        <d v="2024-01-06T00:00:00"/>
        <d v="2024-01-23T00:00:00"/>
        <d v="2024-02-09T00:00:00"/>
        <d v="2024-02-26T00:00:00"/>
        <d v="2024-03-15T00:00:00"/>
        <d v="2024-04-01T00:00:00"/>
        <d v="2024-04-18T00:00:00"/>
        <d v="2024-05-05T00:00:00"/>
        <d v="2024-05-22T00:00:00"/>
        <d v="2024-06-08T00:00:00"/>
        <d v="2024-06-25T00:00:00"/>
        <d v="2024-07-12T00:00:00"/>
        <d v="2024-07-29T00:00:00"/>
        <d v="2024-08-15T00:00:00"/>
        <d v="2024-09-01T00:00:00"/>
        <d v="2024-09-18T00:00:00"/>
        <d v="2024-10-05T00:00:00"/>
        <d v="2024-10-22T00:00:00"/>
        <d v="2024-11-08T00:00:00"/>
        <d v="2024-11-25T00:00:00"/>
        <d v="2024-12-12T00:00:00"/>
        <d v="2024-12-29T00:00:00"/>
        <d v="2025-01-15T00:00:00"/>
        <d v="2025-02-01T00:00:00"/>
        <d v="2025-02-18T00:00:00"/>
        <d v="2025-03-07T00:00:00"/>
        <d v="2025-03-24T00:00:00"/>
        <d v="2025-04-10T00:00:00"/>
        <d v="2025-04-27T00:00:00"/>
        <d v="2025-05-14T00:00:00"/>
        <d v="2025-05-31T00:00:00"/>
        <d v="2025-06-17T00:00:00"/>
        <d v="2025-07-04T00:00:00"/>
        <d v="2025-07-21T00:00:00"/>
        <d v="2025-08-07T00:00:00"/>
        <d v="2025-08-24T00:00:00"/>
        <d v="2025-09-10T00:00:00"/>
        <d v="2025-09-27T00:00:00"/>
        <d v="2025-10-14T00:00:00"/>
        <d v="2025-10-31T00:00:00"/>
        <d v="2025-11-17T00:00:00"/>
        <d v="2025-12-04T00:00:00"/>
        <d v="2025-12-21T00:00:00"/>
      </sharedItems>
    </cacheField>
    <cacheField name="Region" numFmtId="0">
      <sharedItems/>
    </cacheField>
    <cacheField name="Rep" numFmtId="0">
      <sharedItems/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1">
      <sharedItems containsSemiMixedTypes="0" containsString="0" containsNumber="1" containsInteger="1" minValue="2" maxValue="96"/>
    </cacheField>
    <cacheField name="Unit Cost" numFmtId="164">
      <sharedItems containsSemiMixedTypes="0" containsString="0" containsNumber="1" minValue="1.29" maxValue="275"/>
    </cacheField>
    <cacheField name="Total" numFmtId="2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x v="0"/>
    <s v="East"/>
    <s v="Jones"/>
    <x v="0"/>
    <n v="95"/>
    <n v="1.99"/>
    <n v="189.05"/>
  </r>
  <r>
    <x v="1"/>
    <s v="Central"/>
    <s v="Kivell"/>
    <x v="1"/>
    <n v="50"/>
    <n v="19.989999999999998"/>
    <n v="999.49999999999989"/>
  </r>
  <r>
    <x v="2"/>
    <s v="Central"/>
    <s v="Jardine"/>
    <x v="0"/>
    <n v="36"/>
    <n v="4.99"/>
    <n v="179.64000000000001"/>
  </r>
  <r>
    <x v="3"/>
    <s v="Central"/>
    <s v="Gill"/>
    <x v="2"/>
    <n v="27"/>
    <n v="19.989999999999998"/>
    <n v="539.7299999999999"/>
  </r>
  <r>
    <x v="4"/>
    <s v="West"/>
    <s v="Sorvino"/>
    <x v="0"/>
    <n v="56"/>
    <n v="2.99"/>
    <n v="167.44"/>
  </r>
  <r>
    <x v="5"/>
    <s v="East"/>
    <s v="Jones"/>
    <x v="1"/>
    <n v="60"/>
    <n v="4.99"/>
    <n v="299.40000000000003"/>
  </r>
  <r>
    <x v="6"/>
    <s v="Central"/>
    <s v="Andrews"/>
    <x v="0"/>
    <n v="75"/>
    <n v="1.99"/>
    <n v="149.25"/>
  </r>
  <r>
    <x v="7"/>
    <s v="Central"/>
    <s v="Jardine"/>
    <x v="0"/>
    <n v="90"/>
    <n v="4.99"/>
    <n v="449.1"/>
  </r>
  <r>
    <x v="8"/>
    <s v="West"/>
    <s v="Thompson"/>
    <x v="0"/>
    <n v="32"/>
    <n v="1.99"/>
    <n v="63.68"/>
  </r>
  <r>
    <x v="9"/>
    <s v="East"/>
    <s v="Jones"/>
    <x v="1"/>
    <n v="60"/>
    <n v="8.99"/>
    <n v="539.4"/>
  </r>
  <r>
    <x v="10"/>
    <s v="Central"/>
    <s v="Morgan"/>
    <x v="0"/>
    <n v="90"/>
    <n v="4.99"/>
    <n v="449.1"/>
  </r>
  <r>
    <x v="11"/>
    <s v="East"/>
    <s v="Howard"/>
    <x v="1"/>
    <n v="29"/>
    <n v="1.99"/>
    <n v="57.71"/>
  </r>
  <r>
    <x v="12"/>
    <s v="East"/>
    <s v="Parent"/>
    <x v="1"/>
    <n v="81"/>
    <n v="19.989999999999998"/>
    <n v="1619.1899999999998"/>
  </r>
  <r>
    <x v="13"/>
    <s v="East"/>
    <s v="Jones"/>
    <x v="0"/>
    <n v="35"/>
    <n v="4.99"/>
    <n v="174.65"/>
  </r>
  <r>
    <x v="14"/>
    <s v="Central"/>
    <s v="Smith"/>
    <x v="3"/>
    <n v="2"/>
    <n v="125"/>
    <n v="250"/>
  </r>
  <r>
    <x v="15"/>
    <s v="East"/>
    <s v="Jones"/>
    <x v="4"/>
    <n v="16"/>
    <n v="15.99"/>
    <n v="255.84"/>
  </r>
  <r>
    <x v="16"/>
    <s v="Central"/>
    <s v="Morgan"/>
    <x v="1"/>
    <n v="28"/>
    <n v="8.99"/>
    <n v="251.72"/>
  </r>
  <r>
    <x v="17"/>
    <s v="East"/>
    <s v="Jones"/>
    <x v="2"/>
    <n v="64"/>
    <n v="8.99"/>
    <n v="575.36"/>
  </r>
  <r>
    <x v="18"/>
    <s v="East"/>
    <s v="Parent"/>
    <x v="2"/>
    <n v="15"/>
    <n v="19.989999999999998"/>
    <n v="299.84999999999997"/>
  </r>
  <r>
    <x v="19"/>
    <s v="Central"/>
    <s v="Kivell"/>
    <x v="4"/>
    <n v="96"/>
    <n v="4.99"/>
    <n v="479.04"/>
  </r>
  <r>
    <x v="20"/>
    <s v="Central"/>
    <s v="Smith"/>
    <x v="0"/>
    <n v="67"/>
    <n v="1.29"/>
    <n v="86.43"/>
  </r>
  <r>
    <x v="21"/>
    <s v="East"/>
    <s v="Parent"/>
    <x v="4"/>
    <n v="74"/>
    <n v="15.99"/>
    <n v="1183.26"/>
  </r>
  <r>
    <x v="22"/>
    <s v="Central"/>
    <s v="Gill"/>
    <x v="1"/>
    <n v="46"/>
    <n v="8.99"/>
    <n v="413.54"/>
  </r>
  <r>
    <x v="23"/>
    <s v="Central"/>
    <s v="Smith"/>
    <x v="1"/>
    <n v="87"/>
    <n v="15"/>
    <n v="1305"/>
  </r>
  <r>
    <x v="24"/>
    <s v="East"/>
    <s v="Jones"/>
    <x v="1"/>
    <n v="4"/>
    <n v="4.99"/>
    <n v="19.96"/>
  </r>
  <r>
    <x v="25"/>
    <s v="West"/>
    <s v="Sorvino"/>
    <x v="1"/>
    <n v="7"/>
    <n v="19.989999999999998"/>
    <n v="139.92999999999998"/>
  </r>
  <r>
    <x v="26"/>
    <s v="Central"/>
    <s v="Jardine"/>
    <x v="4"/>
    <n v="50"/>
    <n v="4.99"/>
    <n v="249.5"/>
  </r>
  <r>
    <x v="27"/>
    <s v="Central"/>
    <s v="Andrews"/>
    <x v="0"/>
    <n v="66"/>
    <n v="1.99"/>
    <n v="131.34"/>
  </r>
  <r>
    <x v="28"/>
    <s v="East"/>
    <s v="Howard"/>
    <x v="2"/>
    <n v="96"/>
    <n v="4.99"/>
    <n v="479.04"/>
  </r>
  <r>
    <x v="29"/>
    <s v="Central"/>
    <s v="Gill"/>
    <x v="0"/>
    <n v="53"/>
    <n v="1.29"/>
    <n v="68.37"/>
  </r>
  <r>
    <x v="30"/>
    <s v="Central"/>
    <s v="Gill"/>
    <x v="1"/>
    <n v="80"/>
    <n v="8.99"/>
    <n v="719.2"/>
  </r>
  <r>
    <x v="31"/>
    <s v="Central"/>
    <s v="Kivell"/>
    <x v="3"/>
    <n v="5"/>
    <n v="125"/>
    <n v="625"/>
  </r>
  <r>
    <x v="32"/>
    <s v="East"/>
    <s v="Jones"/>
    <x v="4"/>
    <n v="62"/>
    <n v="4.99"/>
    <n v="309.38"/>
  </r>
  <r>
    <x v="33"/>
    <s v="Central"/>
    <s v="Morgan"/>
    <x v="4"/>
    <n v="55"/>
    <n v="12.49"/>
    <n v="686.95"/>
  </r>
  <r>
    <x v="34"/>
    <s v="Central"/>
    <s v="Kivell"/>
    <x v="4"/>
    <n v="42"/>
    <n v="23.95"/>
    <n v="1005.9"/>
  </r>
  <r>
    <x v="35"/>
    <s v="West"/>
    <s v="Sorvino"/>
    <x v="3"/>
    <n v="3"/>
    <n v="275"/>
    <n v="825"/>
  </r>
  <r>
    <x v="36"/>
    <s v="Central"/>
    <s v="Gill"/>
    <x v="0"/>
    <n v="7"/>
    <n v="1.29"/>
    <n v="9.0300000000000011"/>
  </r>
  <r>
    <x v="37"/>
    <s v="West"/>
    <s v="Sorvino"/>
    <x v="2"/>
    <n v="76"/>
    <n v="1.99"/>
    <n v="151.24"/>
  </r>
  <r>
    <x v="38"/>
    <s v="West"/>
    <s v="Thompson"/>
    <x v="1"/>
    <n v="57"/>
    <n v="19.989999999999998"/>
    <n v="1139.4299999999998"/>
  </r>
  <r>
    <x v="39"/>
    <s v="Central"/>
    <s v="Andrews"/>
    <x v="0"/>
    <n v="14"/>
    <n v="1.29"/>
    <n v="18.060000000000002"/>
  </r>
  <r>
    <x v="40"/>
    <s v="Central"/>
    <s v="Jardine"/>
    <x v="1"/>
    <n v="11"/>
    <n v="4.99"/>
    <n v="54.89"/>
  </r>
  <r>
    <x v="41"/>
    <s v="Central"/>
    <s v="Jardine"/>
    <x v="1"/>
    <n v="94"/>
    <n v="19.989999999999998"/>
    <n v="1879.06"/>
  </r>
  <r>
    <x v="42"/>
    <s v="Central"/>
    <s v="Andrews"/>
    <x v="1"/>
    <n v="28"/>
    <n v="4.99"/>
    <n v="139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48" firstHeaderRow="1" firstDataRow="2" firstDataCol="1"/>
  <pivotFields count="7">
    <pivotField axis="axisRow"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numFmtId="1" showAll="0"/>
    <pivotField numFmtId="164" showAll="0"/>
    <pivotField dataField="1" numFmtId="2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6" baseField="0" baseItem="0"/>
  </dataFields>
  <formats count="3">
    <format dxfId="20">
      <pivotArea outline="0" collapsedLevelsAreSubtotals="1" fieldPosition="0"/>
    </format>
    <format dxfId="19">
      <pivotArea dataOnly="0" labelOnly="1" fieldPosition="0">
        <references count="1">
          <reference field="0" count="30">
            <x v="1"/>
            <x v="3"/>
            <x v="5"/>
            <x v="9"/>
            <x v="11"/>
            <x v="12"/>
            <x v="14"/>
            <x v="15"/>
            <x v="16"/>
            <x v="17"/>
            <x v="18"/>
            <x v="19"/>
            <x v="21"/>
            <x v="22"/>
            <x v="23"/>
            <x v="24"/>
            <x v="25"/>
            <x v="26"/>
            <x v="28"/>
            <x v="30"/>
            <x v="31"/>
            <x v="32"/>
            <x v="33"/>
            <x v="34"/>
            <x v="35"/>
            <x v="37"/>
            <x v="38"/>
            <x v="40"/>
            <x v="41"/>
            <x v="42"/>
          </reference>
        </references>
      </pivotArea>
    </format>
    <format dxfId="18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44" totalsRowShown="0" headerRowBorderDxfId="30" tableBorderDxfId="29" totalsRowBorderDxfId="28">
  <autoFilter ref="A1:G44"/>
  <tableColumns count="7">
    <tableColumn id="1" name="OrderDate" dataDxfId="27"/>
    <tableColumn id="2" name="Region" dataDxfId="26"/>
    <tableColumn id="3" name="Rep" dataDxfId="25"/>
    <tableColumn id="4" name="Item" dataDxfId="24"/>
    <tableColumn id="5" name="Units" dataDxfId="23"/>
    <tableColumn id="6" name="Unit Cost" dataDxfId="22" dataCellStyle="Comma"/>
    <tableColumn id="7" name="Total" dataDxfId="21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opLeftCell="A11" workbookViewId="0">
      <selection activeCell="J20" sqref="J20"/>
    </sheetView>
  </sheetViews>
  <sheetFormatPr defaultRowHeight="14.5" x14ac:dyDescent="0.35"/>
  <cols>
    <col min="1" max="1" width="18.26953125" customWidth="1"/>
    <col min="7" max="7" width="12.81640625" customWidth="1"/>
  </cols>
  <sheetData>
    <row r="1" spans="1:7" s="15" customFormat="1" x14ac:dyDescent="0.35">
      <c r="A1" s="11" t="s">
        <v>19</v>
      </c>
      <c r="B1" s="12" t="s">
        <v>20</v>
      </c>
      <c r="C1" s="12" t="s">
        <v>21</v>
      </c>
      <c r="D1" s="13" t="s">
        <v>22</v>
      </c>
      <c r="E1" s="14" t="s">
        <v>23</v>
      </c>
      <c r="F1" s="13" t="s">
        <v>24</v>
      </c>
      <c r="G1" s="13" t="s">
        <v>25</v>
      </c>
    </row>
    <row r="2" spans="1:7" ht="18.5" x14ac:dyDescent="0.35">
      <c r="A2" s="47">
        <v>45297</v>
      </c>
      <c r="B2" s="2" t="s">
        <v>30</v>
      </c>
      <c r="C2" s="2" t="s">
        <v>1</v>
      </c>
      <c r="D2" s="3" t="s">
        <v>2</v>
      </c>
      <c r="E2" s="2">
        <v>95</v>
      </c>
      <c r="F2" s="4">
        <v>1.99</v>
      </c>
      <c r="G2" s="5">
        <v>189.05</v>
      </c>
    </row>
    <row r="3" spans="1:7" ht="18.5" x14ac:dyDescent="0.35">
      <c r="A3" s="47">
        <v>45314</v>
      </c>
      <c r="B3" s="2" t="s">
        <v>3</v>
      </c>
      <c r="C3" s="2" t="s">
        <v>4</v>
      </c>
      <c r="D3" s="3" t="s">
        <v>5</v>
      </c>
      <c r="E3" s="2">
        <v>50</v>
      </c>
      <c r="F3" s="4">
        <v>19.989999999999998</v>
      </c>
      <c r="G3" s="5">
        <v>999.49999999999989</v>
      </c>
    </row>
    <row r="4" spans="1:7" ht="18.5" x14ac:dyDescent="0.35">
      <c r="A4" s="47">
        <v>45331</v>
      </c>
      <c r="B4" s="2" t="s">
        <v>3</v>
      </c>
      <c r="C4" s="2" t="s">
        <v>6</v>
      </c>
      <c r="D4" s="3" t="s">
        <v>2</v>
      </c>
      <c r="E4" s="2">
        <v>36</v>
      </c>
      <c r="F4" s="4">
        <v>4.99</v>
      </c>
      <c r="G4" s="5">
        <v>179.64000000000001</v>
      </c>
    </row>
    <row r="5" spans="1:7" ht="18.5" x14ac:dyDescent="0.35">
      <c r="A5" s="1">
        <v>45348</v>
      </c>
      <c r="B5" s="2" t="s">
        <v>3</v>
      </c>
      <c r="C5" s="2" t="s">
        <v>7</v>
      </c>
      <c r="D5" s="3" t="s">
        <v>8</v>
      </c>
      <c r="E5" s="2">
        <v>27</v>
      </c>
      <c r="F5" s="4">
        <v>19.989999999999998</v>
      </c>
      <c r="G5" s="5">
        <v>539.7299999999999</v>
      </c>
    </row>
    <row r="6" spans="1:7" ht="18.5" x14ac:dyDescent="0.35">
      <c r="A6" s="1">
        <v>45366</v>
      </c>
      <c r="B6" s="2" t="s">
        <v>9</v>
      </c>
      <c r="C6" s="2" t="s">
        <v>10</v>
      </c>
      <c r="D6" s="3" t="s">
        <v>2</v>
      </c>
      <c r="E6" s="2">
        <v>56</v>
      </c>
      <c r="F6" s="4">
        <v>2.99</v>
      </c>
      <c r="G6" s="5">
        <v>167.44</v>
      </c>
    </row>
    <row r="7" spans="1:7" ht="18.5" x14ac:dyDescent="0.35">
      <c r="A7" s="1">
        <v>45383</v>
      </c>
      <c r="B7" s="2" t="s">
        <v>0</v>
      </c>
      <c r="C7" s="2" t="s">
        <v>1</v>
      </c>
      <c r="D7" s="3" t="s">
        <v>5</v>
      </c>
      <c r="E7" s="2">
        <v>60</v>
      </c>
      <c r="F7" s="4">
        <v>4.99</v>
      </c>
      <c r="G7" s="5">
        <v>299.40000000000003</v>
      </c>
    </row>
    <row r="8" spans="1:7" ht="18.5" x14ac:dyDescent="0.35">
      <c r="A8" s="1">
        <v>45400</v>
      </c>
      <c r="B8" s="2" t="s">
        <v>3</v>
      </c>
      <c r="C8" s="2" t="s">
        <v>11</v>
      </c>
      <c r="D8" s="3" t="s">
        <v>2</v>
      </c>
      <c r="E8" s="2">
        <v>75</v>
      </c>
      <c r="F8" s="4">
        <v>1.99</v>
      </c>
      <c r="G8" s="5">
        <v>149.25</v>
      </c>
    </row>
    <row r="9" spans="1:7" ht="18.5" x14ac:dyDescent="0.35">
      <c r="A9" s="1">
        <v>45417</v>
      </c>
      <c r="B9" s="2" t="s">
        <v>3</v>
      </c>
      <c r="C9" s="2" t="s">
        <v>6</v>
      </c>
      <c r="D9" s="3" t="s">
        <v>2</v>
      </c>
      <c r="E9" s="2">
        <v>90</v>
      </c>
      <c r="F9" s="4">
        <v>4.99</v>
      </c>
      <c r="G9" s="5">
        <v>449.1</v>
      </c>
    </row>
    <row r="10" spans="1:7" ht="18.5" x14ac:dyDescent="0.35">
      <c r="A10" s="1">
        <v>45434</v>
      </c>
      <c r="B10" s="2" t="s">
        <v>32</v>
      </c>
      <c r="C10" s="2" t="s">
        <v>12</v>
      </c>
      <c r="D10" s="3" t="s">
        <v>2</v>
      </c>
      <c r="E10" s="2">
        <v>32</v>
      </c>
      <c r="F10" s="4">
        <v>1.99</v>
      </c>
      <c r="G10" s="5">
        <v>63.68</v>
      </c>
    </row>
    <row r="11" spans="1:7" ht="18.5" x14ac:dyDescent="0.35">
      <c r="A11" s="1">
        <v>45451</v>
      </c>
      <c r="B11" s="2" t="s">
        <v>0</v>
      </c>
      <c r="C11" s="2" t="s">
        <v>1</v>
      </c>
      <c r="D11" s="3" t="s">
        <v>5</v>
      </c>
      <c r="E11" s="2">
        <v>60</v>
      </c>
      <c r="F11" s="4">
        <v>8.99</v>
      </c>
      <c r="G11" s="5">
        <v>539.4</v>
      </c>
    </row>
    <row r="12" spans="1:7" ht="18.5" x14ac:dyDescent="0.35">
      <c r="A12" s="1">
        <v>45468</v>
      </c>
      <c r="B12" s="2" t="s">
        <v>3</v>
      </c>
      <c r="C12" s="2" t="s">
        <v>13</v>
      </c>
      <c r="D12" s="3" t="s">
        <v>38</v>
      </c>
      <c r="E12" s="2">
        <v>90</v>
      </c>
      <c r="F12" s="4">
        <v>4.99</v>
      </c>
      <c r="G12" s="5">
        <v>449.1</v>
      </c>
    </row>
    <row r="13" spans="1:7" ht="18.5" x14ac:dyDescent="0.35">
      <c r="A13" s="1">
        <v>45485</v>
      </c>
      <c r="B13" s="2" t="s">
        <v>0</v>
      </c>
      <c r="C13" s="2" t="s">
        <v>14</v>
      </c>
      <c r="D13" s="3" t="s">
        <v>5</v>
      </c>
      <c r="E13" s="2">
        <v>29</v>
      </c>
      <c r="F13" s="4">
        <v>1.99</v>
      </c>
      <c r="G13" s="5">
        <v>57.71</v>
      </c>
    </row>
    <row r="14" spans="1:7" ht="18.5" x14ac:dyDescent="0.35">
      <c r="A14" s="1">
        <v>45502</v>
      </c>
      <c r="B14" s="2" t="s">
        <v>0</v>
      </c>
      <c r="C14" s="2" t="s">
        <v>15</v>
      </c>
      <c r="D14" s="3" t="s">
        <v>5</v>
      </c>
      <c r="E14" s="2">
        <v>81</v>
      </c>
      <c r="F14" s="4">
        <v>19.989999999999998</v>
      </c>
      <c r="G14" s="5">
        <v>1619.1899999999998</v>
      </c>
    </row>
    <row r="15" spans="1:7" ht="18.5" x14ac:dyDescent="0.35">
      <c r="A15" s="1">
        <v>45519</v>
      </c>
      <c r="B15" s="2" t="s">
        <v>0</v>
      </c>
      <c r="C15" s="2" t="s">
        <v>1</v>
      </c>
      <c r="D15" s="3" t="s">
        <v>2</v>
      </c>
      <c r="E15" s="2">
        <v>35</v>
      </c>
      <c r="F15" s="4">
        <v>4.99</v>
      </c>
      <c r="G15" s="5">
        <v>174.65</v>
      </c>
    </row>
    <row r="16" spans="1:7" ht="18.5" x14ac:dyDescent="0.35">
      <c r="A16" s="47">
        <v>45536</v>
      </c>
      <c r="B16" s="2" t="s">
        <v>31</v>
      </c>
      <c r="C16" s="2" t="s">
        <v>16</v>
      </c>
      <c r="D16" s="3" t="s">
        <v>17</v>
      </c>
      <c r="E16" s="2">
        <v>2</v>
      </c>
      <c r="F16" s="4">
        <v>125</v>
      </c>
      <c r="G16" s="5">
        <v>250</v>
      </c>
    </row>
    <row r="17" spans="1:7" ht="18.5" x14ac:dyDescent="0.35">
      <c r="A17" s="1">
        <v>45553</v>
      </c>
      <c r="B17" s="2" t="s">
        <v>0</v>
      </c>
      <c r="C17" s="2" t="s">
        <v>1</v>
      </c>
      <c r="D17" s="3" t="s">
        <v>18</v>
      </c>
      <c r="E17" s="2">
        <v>16</v>
      </c>
      <c r="F17" s="4">
        <v>15.99</v>
      </c>
      <c r="G17" s="5">
        <v>255.84</v>
      </c>
    </row>
    <row r="18" spans="1:7" ht="18.5" x14ac:dyDescent="0.35">
      <c r="A18" s="1">
        <v>45570</v>
      </c>
      <c r="B18" s="2" t="s">
        <v>3</v>
      </c>
      <c r="C18" s="2" t="s">
        <v>13</v>
      </c>
      <c r="D18" s="3" t="s">
        <v>5</v>
      </c>
      <c r="E18" s="2">
        <v>28</v>
      </c>
      <c r="F18" s="4">
        <v>8.99</v>
      </c>
      <c r="G18" s="5">
        <v>251.72</v>
      </c>
    </row>
    <row r="19" spans="1:7" ht="18.5" x14ac:dyDescent="0.35">
      <c r="A19" s="1">
        <v>45587</v>
      </c>
      <c r="B19" s="2" t="s">
        <v>37</v>
      </c>
      <c r="C19" s="2" t="s">
        <v>1</v>
      </c>
      <c r="D19" s="3" t="s">
        <v>8</v>
      </c>
      <c r="E19" s="2">
        <v>64</v>
      </c>
      <c r="F19" s="4">
        <v>8.99</v>
      </c>
      <c r="G19" s="5">
        <v>575.36</v>
      </c>
    </row>
    <row r="20" spans="1:7" ht="18.5" x14ac:dyDescent="0.35">
      <c r="A20" s="1">
        <v>45604</v>
      </c>
      <c r="B20" s="2" t="s">
        <v>0</v>
      </c>
      <c r="C20" s="2" t="s">
        <v>15</v>
      </c>
      <c r="D20" s="3" t="s">
        <v>39</v>
      </c>
      <c r="E20" s="2">
        <v>15</v>
      </c>
      <c r="F20" s="4">
        <v>19.989999999999998</v>
      </c>
      <c r="G20" s="5">
        <v>299.84999999999997</v>
      </c>
    </row>
    <row r="21" spans="1:7" ht="18.5" x14ac:dyDescent="0.35">
      <c r="A21" s="1">
        <v>45621</v>
      </c>
      <c r="B21" s="2" t="s">
        <v>3</v>
      </c>
      <c r="C21" s="2" t="s">
        <v>4</v>
      </c>
      <c r="D21" s="3" t="s">
        <v>18</v>
      </c>
      <c r="E21" s="2">
        <v>96</v>
      </c>
      <c r="F21" s="4">
        <v>4.99</v>
      </c>
      <c r="G21" s="5">
        <v>479.04</v>
      </c>
    </row>
    <row r="22" spans="1:7" ht="18.5" x14ac:dyDescent="0.35">
      <c r="A22" s="1">
        <v>45638</v>
      </c>
      <c r="B22" s="2" t="s">
        <v>3</v>
      </c>
      <c r="C22" s="2" t="s">
        <v>16</v>
      </c>
      <c r="D22" s="3" t="s">
        <v>2</v>
      </c>
      <c r="E22" s="2">
        <v>67</v>
      </c>
      <c r="F22" s="4">
        <v>1.29</v>
      </c>
      <c r="G22" s="5">
        <v>86.43</v>
      </c>
    </row>
    <row r="23" spans="1:7" ht="18.5" x14ac:dyDescent="0.35">
      <c r="A23" s="1">
        <v>45655</v>
      </c>
      <c r="B23" s="2" t="s">
        <v>0</v>
      </c>
      <c r="C23" s="2" t="s">
        <v>15</v>
      </c>
      <c r="D23" s="3" t="s">
        <v>18</v>
      </c>
      <c r="E23" s="2">
        <v>74</v>
      </c>
      <c r="F23" s="4">
        <v>15.99</v>
      </c>
      <c r="G23" s="5">
        <v>1183.26</v>
      </c>
    </row>
    <row r="24" spans="1:7" ht="18.5" x14ac:dyDescent="0.35">
      <c r="A24" s="1">
        <v>45672</v>
      </c>
      <c r="B24" s="2" t="s">
        <v>3</v>
      </c>
      <c r="C24" s="2" t="s">
        <v>7</v>
      </c>
      <c r="D24" s="3" t="s">
        <v>5</v>
      </c>
      <c r="E24" s="2">
        <v>46</v>
      </c>
      <c r="F24" s="4">
        <v>8.99</v>
      </c>
      <c r="G24" s="5">
        <v>413.54</v>
      </c>
    </row>
    <row r="25" spans="1:7" ht="18.5" x14ac:dyDescent="0.35">
      <c r="A25" s="1">
        <v>45689</v>
      </c>
      <c r="B25" s="2" t="s">
        <v>3</v>
      </c>
      <c r="C25" s="2" t="s">
        <v>16</v>
      </c>
      <c r="D25" s="3" t="s">
        <v>5</v>
      </c>
      <c r="E25" s="2">
        <v>87</v>
      </c>
      <c r="F25" s="4">
        <v>15</v>
      </c>
      <c r="G25" s="5">
        <v>1305</v>
      </c>
    </row>
    <row r="26" spans="1:7" ht="18.5" x14ac:dyDescent="0.35">
      <c r="A26" s="1">
        <v>45706</v>
      </c>
      <c r="B26" s="2" t="s">
        <v>0</v>
      </c>
      <c r="C26" s="2" t="s">
        <v>1</v>
      </c>
      <c r="D26" s="3" t="s">
        <v>5</v>
      </c>
      <c r="E26" s="2">
        <v>4</v>
      </c>
      <c r="F26" s="4">
        <v>4.99</v>
      </c>
      <c r="G26" s="5">
        <v>19.96</v>
      </c>
    </row>
    <row r="27" spans="1:7" ht="18.5" x14ac:dyDescent="0.35">
      <c r="A27" s="47">
        <v>45723</v>
      </c>
      <c r="B27" s="2" t="s">
        <v>9</v>
      </c>
      <c r="C27" s="2" t="s">
        <v>10</v>
      </c>
      <c r="D27" s="3" t="s">
        <v>5</v>
      </c>
      <c r="E27" s="2">
        <v>7</v>
      </c>
      <c r="F27" s="4">
        <v>19.989999999999998</v>
      </c>
      <c r="G27" s="5">
        <v>139.92999999999998</v>
      </c>
    </row>
    <row r="28" spans="1:7" ht="18.5" x14ac:dyDescent="0.35">
      <c r="A28" s="47">
        <v>45740</v>
      </c>
      <c r="B28" s="2" t="s">
        <v>31</v>
      </c>
      <c r="C28" s="2" t="s">
        <v>6</v>
      </c>
      <c r="D28" s="3" t="s">
        <v>18</v>
      </c>
      <c r="E28" s="2">
        <v>50</v>
      </c>
      <c r="F28" s="4">
        <v>4.99</v>
      </c>
      <c r="G28" s="5">
        <v>249.5</v>
      </c>
    </row>
    <row r="29" spans="1:7" ht="18.5" x14ac:dyDescent="0.35">
      <c r="A29" s="1">
        <v>45757</v>
      </c>
      <c r="B29" s="2" t="s">
        <v>3</v>
      </c>
      <c r="C29" s="2" t="s">
        <v>11</v>
      </c>
      <c r="D29" s="3" t="s">
        <v>2</v>
      </c>
      <c r="E29" s="2">
        <v>66</v>
      </c>
      <c r="F29" s="4">
        <v>1.99</v>
      </c>
      <c r="G29" s="5">
        <v>131.34</v>
      </c>
    </row>
    <row r="30" spans="1:7" ht="18.5" x14ac:dyDescent="0.35">
      <c r="A30" s="1">
        <v>45774</v>
      </c>
      <c r="B30" s="2" t="s">
        <v>30</v>
      </c>
      <c r="C30" s="2" t="s">
        <v>14</v>
      </c>
      <c r="D30" s="3" t="s">
        <v>8</v>
      </c>
      <c r="E30" s="2">
        <v>96</v>
      </c>
      <c r="F30" s="4">
        <v>4.99</v>
      </c>
      <c r="G30" s="5">
        <v>479.04</v>
      </c>
    </row>
    <row r="31" spans="1:7" ht="18.5" x14ac:dyDescent="0.35">
      <c r="A31" s="1">
        <v>45791</v>
      </c>
      <c r="B31" s="2" t="s">
        <v>3</v>
      </c>
      <c r="C31" s="2" t="s">
        <v>7</v>
      </c>
      <c r="D31" s="3" t="s">
        <v>2</v>
      </c>
      <c r="E31" s="2">
        <v>53</v>
      </c>
      <c r="F31" s="4">
        <v>1.29</v>
      </c>
      <c r="G31" s="5">
        <v>68.37</v>
      </c>
    </row>
    <row r="32" spans="1:7" ht="18.5" x14ac:dyDescent="0.35">
      <c r="A32" s="1">
        <v>45808</v>
      </c>
      <c r="B32" s="2" t="s">
        <v>3</v>
      </c>
      <c r="C32" s="2" t="s">
        <v>7</v>
      </c>
      <c r="D32" s="3" t="s">
        <v>5</v>
      </c>
      <c r="E32" s="2">
        <v>80</v>
      </c>
      <c r="F32" s="4">
        <v>8.99</v>
      </c>
      <c r="G32" s="5">
        <v>719.2</v>
      </c>
    </row>
    <row r="33" spans="1:7" ht="18.5" x14ac:dyDescent="0.35">
      <c r="A33" s="1">
        <v>45825</v>
      </c>
      <c r="B33" s="2" t="s">
        <v>3</v>
      </c>
      <c r="C33" s="2" t="s">
        <v>4</v>
      </c>
      <c r="D33" s="3" t="s">
        <v>17</v>
      </c>
      <c r="E33" s="2">
        <v>5</v>
      </c>
      <c r="F33" s="4">
        <v>125</v>
      </c>
      <c r="G33" s="5">
        <v>625</v>
      </c>
    </row>
    <row r="34" spans="1:7" ht="18.5" x14ac:dyDescent="0.35">
      <c r="A34" s="1">
        <v>45842</v>
      </c>
      <c r="B34" s="2" t="s">
        <v>0</v>
      </c>
      <c r="C34" s="2" t="s">
        <v>1</v>
      </c>
      <c r="D34" s="3" t="s">
        <v>18</v>
      </c>
      <c r="E34" s="2">
        <v>62</v>
      </c>
      <c r="F34" s="4">
        <v>4.99</v>
      </c>
      <c r="G34" s="5">
        <v>309.38</v>
      </c>
    </row>
    <row r="35" spans="1:7" ht="18.5" x14ac:dyDescent="0.35">
      <c r="A35" s="1">
        <v>45859</v>
      </c>
      <c r="B35" s="2" t="s">
        <v>3</v>
      </c>
      <c r="C35" s="2" t="s">
        <v>13</v>
      </c>
      <c r="D35" s="3" t="s">
        <v>18</v>
      </c>
      <c r="E35" s="2">
        <v>55</v>
      </c>
      <c r="F35" s="4">
        <v>12.49</v>
      </c>
      <c r="G35" s="5">
        <v>686.95</v>
      </c>
    </row>
    <row r="36" spans="1:7" ht="18.5" x14ac:dyDescent="0.35">
      <c r="A36" s="1">
        <v>45876</v>
      </c>
      <c r="B36" s="2" t="s">
        <v>3</v>
      </c>
      <c r="C36" s="2" t="s">
        <v>4</v>
      </c>
      <c r="D36" s="3" t="s">
        <v>18</v>
      </c>
      <c r="E36" s="2">
        <v>42</v>
      </c>
      <c r="F36" s="4">
        <v>23.95</v>
      </c>
      <c r="G36" s="5">
        <v>1005.9</v>
      </c>
    </row>
    <row r="37" spans="1:7" ht="18.5" x14ac:dyDescent="0.35">
      <c r="A37" s="1">
        <v>45893</v>
      </c>
      <c r="B37" s="2" t="s">
        <v>9</v>
      </c>
      <c r="C37" s="2" t="s">
        <v>10</v>
      </c>
      <c r="D37" s="3" t="s">
        <v>17</v>
      </c>
      <c r="E37" s="2">
        <v>3</v>
      </c>
      <c r="F37" s="4">
        <v>275</v>
      </c>
      <c r="G37" s="5">
        <v>825</v>
      </c>
    </row>
    <row r="38" spans="1:7" ht="18.5" x14ac:dyDescent="0.35">
      <c r="A38" s="47">
        <v>45910</v>
      </c>
      <c r="B38" s="2" t="s">
        <v>3</v>
      </c>
      <c r="C38" s="2" t="s">
        <v>7</v>
      </c>
      <c r="D38" s="3" t="s">
        <v>2</v>
      </c>
      <c r="E38" s="2">
        <v>7</v>
      </c>
      <c r="F38" s="4">
        <v>1.29</v>
      </c>
      <c r="G38" s="5">
        <v>9.0300000000000011</v>
      </c>
    </row>
    <row r="39" spans="1:7" ht="18.5" x14ac:dyDescent="0.35">
      <c r="A39" s="47">
        <v>45927</v>
      </c>
      <c r="B39" s="2" t="s">
        <v>9</v>
      </c>
      <c r="C39" s="2" t="s">
        <v>10</v>
      </c>
      <c r="D39" s="3" t="s">
        <v>8</v>
      </c>
      <c r="E39" s="2">
        <v>76</v>
      </c>
      <c r="F39" s="4">
        <v>1.99</v>
      </c>
      <c r="G39" s="5">
        <v>151.24</v>
      </c>
    </row>
    <row r="40" spans="1:7" ht="18.5" x14ac:dyDescent="0.35">
      <c r="A40" s="1">
        <v>45944</v>
      </c>
      <c r="B40" s="2" t="s">
        <v>9</v>
      </c>
      <c r="C40" s="2" t="s">
        <v>12</v>
      </c>
      <c r="D40" s="3" t="s">
        <v>5</v>
      </c>
      <c r="E40" s="2">
        <v>57</v>
      </c>
      <c r="F40" s="4">
        <v>19.989999999999998</v>
      </c>
      <c r="G40" s="5">
        <v>1139.4299999999998</v>
      </c>
    </row>
    <row r="41" spans="1:7" ht="18.5" x14ac:dyDescent="0.35">
      <c r="A41" s="1">
        <v>45961</v>
      </c>
      <c r="B41" s="2" t="s">
        <v>3</v>
      </c>
      <c r="C41" s="2" t="s">
        <v>11</v>
      </c>
      <c r="D41" s="3" t="s">
        <v>2</v>
      </c>
      <c r="E41" s="2">
        <v>14</v>
      </c>
      <c r="F41" s="4">
        <v>1.29</v>
      </c>
      <c r="G41" s="5">
        <v>18.060000000000002</v>
      </c>
    </row>
    <row r="42" spans="1:7" ht="18.5" x14ac:dyDescent="0.35">
      <c r="A42" s="1">
        <v>45978</v>
      </c>
      <c r="B42" s="2" t="s">
        <v>3</v>
      </c>
      <c r="C42" s="2" t="s">
        <v>6</v>
      </c>
      <c r="D42" s="3" t="s">
        <v>5</v>
      </c>
      <c r="E42" s="2">
        <v>11</v>
      </c>
      <c r="F42" s="4">
        <v>4.99</v>
      </c>
      <c r="G42" s="5">
        <v>54.89</v>
      </c>
    </row>
    <row r="43" spans="1:7" ht="18.5" x14ac:dyDescent="0.35">
      <c r="A43" s="1">
        <v>45995</v>
      </c>
      <c r="B43" s="2" t="s">
        <v>3</v>
      </c>
      <c r="C43" s="2" t="s">
        <v>6</v>
      </c>
      <c r="D43" s="3" t="s">
        <v>5</v>
      </c>
      <c r="E43" s="2">
        <v>94</v>
      </c>
      <c r="F43" s="4">
        <v>19.989999999999998</v>
      </c>
      <c r="G43" s="5">
        <v>1879.06</v>
      </c>
    </row>
    <row r="44" spans="1:7" ht="18.5" x14ac:dyDescent="0.35">
      <c r="A44" s="6">
        <v>46012</v>
      </c>
      <c r="B44" s="7" t="s">
        <v>3</v>
      </c>
      <c r="C44" s="7" t="s">
        <v>11</v>
      </c>
      <c r="D44" s="8" t="s">
        <v>5</v>
      </c>
      <c r="E44" s="7">
        <v>28</v>
      </c>
      <c r="F44" s="9">
        <v>4.99</v>
      </c>
      <c r="G44" s="10">
        <v>139.72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4"/>
  <sheetViews>
    <sheetView zoomScale="81" workbookViewId="0">
      <selection activeCell="G15" sqref="G15"/>
    </sheetView>
  </sheetViews>
  <sheetFormatPr defaultRowHeight="14.5" x14ac:dyDescent="0.35"/>
  <cols>
    <col min="1" max="1" width="15.90625" style="21" customWidth="1"/>
    <col min="2" max="2" width="9.90625" style="20" customWidth="1"/>
    <col min="3" max="3" width="10.453125" style="20" customWidth="1"/>
    <col min="4" max="4" width="12" style="20" customWidth="1"/>
    <col min="5" max="5" width="11" style="23" customWidth="1"/>
    <col min="6" max="6" width="19.7265625" style="20" customWidth="1"/>
    <col min="7" max="7" width="25.81640625" style="24" customWidth="1"/>
    <col min="8" max="8" width="8.7265625" style="20"/>
    <col min="9" max="9" width="16.90625" style="20" customWidth="1"/>
    <col min="10" max="10" width="25" style="20" customWidth="1"/>
    <col min="11" max="11" width="5" style="20" customWidth="1"/>
    <col min="12" max="12" width="4.26953125" style="20" customWidth="1"/>
    <col min="13" max="13" width="7.36328125" style="20" customWidth="1"/>
    <col min="14" max="14" width="6" style="20" customWidth="1"/>
    <col min="15" max="15" width="10.90625" style="20" customWidth="1"/>
    <col min="16" max="16" width="11.90625" style="20" customWidth="1"/>
    <col min="17" max="17" width="11.7265625" style="20" customWidth="1"/>
    <col min="18" max="18" width="11.90625" style="20" customWidth="1"/>
    <col min="19" max="19" width="11.7265625" style="20" customWidth="1"/>
    <col min="20" max="20" width="16.7265625" style="20" customWidth="1"/>
    <col min="21" max="21" width="16.54296875" style="20" customWidth="1"/>
    <col min="22" max="22" width="10.90625" style="20" customWidth="1"/>
    <col min="23" max="23" width="9.81640625" style="20" customWidth="1"/>
    <col min="24" max="24" width="10.90625" style="20" customWidth="1"/>
    <col min="25" max="25" width="11.1796875" style="20" customWidth="1"/>
    <col min="26" max="26" width="8.81640625" style="20" customWidth="1"/>
    <col min="27" max="28" width="9.81640625" style="20" customWidth="1"/>
    <col min="29" max="29" width="9.7265625" style="20" customWidth="1"/>
    <col min="30" max="30" width="9.81640625" style="20" customWidth="1"/>
    <col min="31" max="31" width="10.90625" style="20" customWidth="1"/>
    <col min="32" max="32" width="9.81640625" style="20" customWidth="1"/>
    <col min="33" max="33" width="9.81640625" style="20" bestFit="1" customWidth="1"/>
    <col min="34" max="34" width="9.81640625" style="20" customWidth="1"/>
    <col min="35" max="35" width="9" style="20" customWidth="1"/>
    <col min="36" max="36" width="9.81640625" style="20" customWidth="1"/>
    <col min="37" max="38" width="10.90625" style="20" customWidth="1"/>
    <col min="39" max="39" width="9.81640625" style="20" customWidth="1"/>
    <col min="40" max="40" width="8.81640625" style="20" customWidth="1"/>
    <col min="41" max="41" width="9.81640625" style="20" customWidth="1"/>
    <col min="42" max="42" width="8.81640625" style="20" customWidth="1"/>
    <col min="43" max="43" width="12.08984375" style="20" customWidth="1"/>
    <col min="44" max="45" width="8.81640625" style="20" customWidth="1"/>
    <col min="46" max="47" width="9.81640625" style="20" customWidth="1"/>
    <col min="48" max="48" width="8.81640625" style="20" customWidth="1"/>
    <col min="49" max="51" width="9.81640625" style="20" customWidth="1"/>
    <col min="52" max="52" width="10.90625" style="20" customWidth="1"/>
    <col min="53" max="55" width="9.81640625" style="20" customWidth="1"/>
    <col min="56" max="56" width="10.90625" style="20" bestFit="1" customWidth="1"/>
    <col min="57" max="57" width="10.7265625" style="20" bestFit="1" customWidth="1"/>
    <col min="58" max="58" width="10.90625" style="20" bestFit="1" customWidth="1"/>
    <col min="59" max="16384" width="8.7265625" style="20"/>
  </cols>
  <sheetData>
    <row r="1" spans="1:11" s="17" customFormat="1" ht="18.5" x14ac:dyDescent="0.35">
      <c r="A1" s="35" t="s">
        <v>19</v>
      </c>
      <c r="B1" s="36" t="s">
        <v>20</v>
      </c>
      <c r="C1" s="36" t="s">
        <v>21</v>
      </c>
      <c r="D1" s="37" t="s">
        <v>22</v>
      </c>
      <c r="E1" s="38" t="s">
        <v>23</v>
      </c>
      <c r="F1" s="37" t="s">
        <v>24</v>
      </c>
      <c r="G1" s="39" t="s">
        <v>25</v>
      </c>
    </row>
    <row r="2" spans="1:11" ht="18.5" x14ac:dyDescent="0.35">
      <c r="A2" s="33">
        <v>45297</v>
      </c>
      <c r="B2" s="18" t="s">
        <v>0</v>
      </c>
      <c r="C2" s="18" t="s">
        <v>1</v>
      </c>
      <c r="D2" s="16" t="s">
        <v>2</v>
      </c>
      <c r="E2" s="22">
        <v>95</v>
      </c>
      <c r="F2" s="19">
        <v>1.99</v>
      </c>
      <c r="G2" s="34">
        <v>189.05</v>
      </c>
    </row>
    <row r="3" spans="1:11" ht="18.5" x14ac:dyDescent="0.35">
      <c r="A3" s="33">
        <v>45314</v>
      </c>
      <c r="B3" s="18" t="s">
        <v>3</v>
      </c>
      <c r="C3" s="18" t="s">
        <v>4</v>
      </c>
      <c r="D3" s="16" t="s">
        <v>5</v>
      </c>
      <c r="E3" s="22">
        <v>50</v>
      </c>
      <c r="F3" s="19">
        <v>19.989999999999998</v>
      </c>
      <c r="G3" s="34">
        <v>999.49999999999989</v>
      </c>
    </row>
    <row r="4" spans="1:11" ht="18.5" x14ac:dyDescent="0.35">
      <c r="A4" s="33">
        <v>45331</v>
      </c>
      <c r="B4" s="18" t="s">
        <v>3</v>
      </c>
      <c r="C4" s="18" t="s">
        <v>6</v>
      </c>
      <c r="D4" s="16" t="s">
        <v>2</v>
      </c>
      <c r="E4" s="22">
        <v>36</v>
      </c>
      <c r="F4" s="19">
        <v>4.99</v>
      </c>
      <c r="G4" s="34">
        <v>179.64000000000001</v>
      </c>
    </row>
    <row r="5" spans="1:11" ht="19" thickBot="1" x14ac:dyDescent="0.4">
      <c r="A5" s="33">
        <v>45348</v>
      </c>
      <c r="B5" s="18" t="s">
        <v>3</v>
      </c>
      <c r="C5" s="18" t="s">
        <v>7</v>
      </c>
      <c r="D5" s="16" t="s">
        <v>8</v>
      </c>
      <c r="E5" s="22">
        <v>27</v>
      </c>
      <c r="F5" s="19">
        <v>19.989999999999998</v>
      </c>
      <c r="G5" s="34">
        <v>539.7299999999999</v>
      </c>
      <c r="I5" s="27"/>
      <c r="J5" s="27"/>
    </row>
    <row r="6" spans="1:11" ht="18.5" x14ac:dyDescent="0.45">
      <c r="A6" s="33">
        <v>45366</v>
      </c>
      <c r="B6" s="18" t="s">
        <v>9</v>
      </c>
      <c r="C6" s="18" t="s">
        <v>10</v>
      </c>
      <c r="D6" s="16" t="s">
        <v>2</v>
      </c>
      <c r="E6" s="22">
        <v>56</v>
      </c>
      <c r="F6" s="19">
        <v>2.99</v>
      </c>
      <c r="G6" s="34">
        <v>167.44</v>
      </c>
      <c r="H6" s="25"/>
      <c r="I6" s="29" t="s">
        <v>25</v>
      </c>
      <c r="J6" s="53">
        <f>SUM(G2:G44)</f>
        <v>19627.880000000008</v>
      </c>
      <c r="K6" s="26"/>
    </row>
    <row r="7" spans="1:11" ht="18.5" x14ac:dyDescent="0.45">
      <c r="A7" s="33">
        <v>45383</v>
      </c>
      <c r="B7" s="18" t="s">
        <v>0</v>
      </c>
      <c r="C7" s="18" t="s">
        <v>1</v>
      </c>
      <c r="D7" s="16" t="s">
        <v>5</v>
      </c>
      <c r="E7" s="22">
        <v>60</v>
      </c>
      <c r="F7" s="19">
        <v>4.99</v>
      </c>
      <c r="G7" s="34">
        <v>299.40000000000003</v>
      </c>
      <c r="H7" s="25"/>
      <c r="I7" s="30" t="s">
        <v>26</v>
      </c>
      <c r="J7" s="54">
        <f>AVERAGE(G2:G44)</f>
        <v>456.46232558139553</v>
      </c>
      <c r="K7" s="26"/>
    </row>
    <row r="8" spans="1:11" ht="18.5" x14ac:dyDescent="0.45">
      <c r="A8" s="33">
        <v>45400</v>
      </c>
      <c r="B8" s="18" t="s">
        <v>3</v>
      </c>
      <c r="C8" s="18" t="s">
        <v>11</v>
      </c>
      <c r="D8" s="16" t="s">
        <v>2</v>
      </c>
      <c r="E8" s="22">
        <v>75</v>
      </c>
      <c r="F8" s="19">
        <v>1.99</v>
      </c>
      <c r="G8" s="34">
        <v>149.25</v>
      </c>
      <c r="H8" s="25"/>
      <c r="I8" s="30" t="s">
        <v>27</v>
      </c>
      <c r="J8" s="54">
        <f>MAX(G1:G44)</f>
        <v>1879.06</v>
      </c>
      <c r="K8" s="26"/>
    </row>
    <row r="9" spans="1:11" ht="18.5" x14ac:dyDescent="0.45">
      <c r="A9" s="33">
        <v>45417</v>
      </c>
      <c r="B9" s="18" t="s">
        <v>3</v>
      </c>
      <c r="C9" s="18" t="s">
        <v>6</v>
      </c>
      <c r="D9" s="16" t="s">
        <v>2</v>
      </c>
      <c r="E9" s="22">
        <v>90</v>
      </c>
      <c r="F9" s="19">
        <v>4.99</v>
      </c>
      <c r="G9" s="34">
        <v>449.1</v>
      </c>
      <c r="H9" s="25"/>
      <c r="I9" s="30" t="s">
        <v>28</v>
      </c>
      <c r="J9" s="54">
        <f>MIN(G1:G44)</f>
        <v>9.0300000000000011</v>
      </c>
      <c r="K9" s="26"/>
    </row>
    <row r="10" spans="1:11" ht="19" thickBot="1" x14ac:dyDescent="0.5">
      <c r="A10" s="33">
        <v>45434</v>
      </c>
      <c r="B10" s="18" t="s">
        <v>9</v>
      </c>
      <c r="C10" s="18" t="s">
        <v>12</v>
      </c>
      <c r="D10" s="16" t="s">
        <v>2</v>
      </c>
      <c r="E10" s="22">
        <v>32</v>
      </c>
      <c r="F10" s="19">
        <v>1.99</v>
      </c>
      <c r="G10" s="34">
        <v>63.68</v>
      </c>
      <c r="H10" s="25"/>
      <c r="I10" s="31" t="s">
        <v>29</v>
      </c>
      <c r="J10" s="55">
        <f>COUNT(G1:G44)</f>
        <v>43</v>
      </c>
      <c r="K10" s="26"/>
    </row>
    <row r="11" spans="1:11" ht="18.5" x14ac:dyDescent="0.35">
      <c r="A11" s="33">
        <v>45451</v>
      </c>
      <c r="B11" s="18" t="s">
        <v>0</v>
      </c>
      <c r="C11" s="18" t="s">
        <v>1</v>
      </c>
      <c r="D11" s="16" t="s">
        <v>5</v>
      </c>
      <c r="E11" s="22">
        <v>60</v>
      </c>
      <c r="F11" s="19">
        <v>8.99</v>
      </c>
      <c r="G11" s="34">
        <v>539.4</v>
      </c>
      <c r="I11" s="28"/>
      <c r="J11" s="28"/>
    </row>
    <row r="12" spans="1:11" ht="18.5" x14ac:dyDescent="0.35">
      <c r="A12" s="33">
        <v>45468</v>
      </c>
      <c r="B12" s="18" t="s">
        <v>3</v>
      </c>
      <c r="C12" s="18" t="s">
        <v>13</v>
      </c>
      <c r="D12" s="16" t="s">
        <v>2</v>
      </c>
      <c r="E12" s="22">
        <v>90</v>
      </c>
      <c r="F12" s="19">
        <v>4.99</v>
      </c>
      <c r="G12" s="34">
        <v>449.1</v>
      </c>
    </row>
    <row r="13" spans="1:11" ht="18.5" x14ac:dyDescent="0.35">
      <c r="A13" s="33">
        <v>45485</v>
      </c>
      <c r="B13" s="18" t="s">
        <v>0</v>
      </c>
      <c r="C13" s="18" t="s">
        <v>14</v>
      </c>
      <c r="D13" s="16" t="s">
        <v>5</v>
      </c>
      <c r="E13" s="22">
        <v>29</v>
      </c>
      <c r="F13" s="19">
        <v>1.99</v>
      </c>
      <c r="G13" s="34">
        <v>57.71</v>
      </c>
    </row>
    <row r="14" spans="1:11" ht="18.5" x14ac:dyDescent="0.35">
      <c r="A14" s="33">
        <v>45502</v>
      </c>
      <c r="B14" s="18" t="s">
        <v>0</v>
      </c>
      <c r="C14" s="18" t="s">
        <v>15</v>
      </c>
      <c r="D14" s="16" t="s">
        <v>5</v>
      </c>
      <c r="E14" s="22">
        <v>81</v>
      </c>
      <c r="F14" s="19">
        <v>19.989999999999998</v>
      </c>
      <c r="G14" s="34">
        <v>1619.1899999999998</v>
      </c>
    </row>
    <row r="15" spans="1:11" ht="18.5" x14ac:dyDescent="0.35">
      <c r="A15" s="33">
        <v>45519</v>
      </c>
      <c r="B15" s="18" t="s">
        <v>0</v>
      </c>
      <c r="C15" s="18" t="s">
        <v>1</v>
      </c>
      <c r="D15" s="16" t="s">
        <v>2</v>
      </c>
      <c r="E15" s="22">
        <v>35</v>
      </c>
      <c r="F15" s="19">
        <v>4.99</v>
      </c>
      <c r="G15" s="34">
        <v>174.65</v>
      </c>
    </row>
    <row r="16" spans="1:11" ht="18.5" x14ac:dyDescent="0.35">
      <c r="A16" s="33">
        <v>45536</v>
      </c>
      <c r="B16" s="18" t="s">
        <v>3</v>
      </c>
      <c r="C16" s="18" t="s">
        <v>16</v>
      </c>
      <c r="D16" s="16" t="s">
        <v>17</v>
      </c>
      <c r="E16" s="22">
        <v>2</v>
      </c>
      <c r="F16" s="19">
        <v>125</v>
      </c>
      <c r="G16" s="34">
        <v>250</v>
      </c>
    </row>
    <row r="17" spans="1:58" ht="18.5" x14ac:dyDescent="0.35">
      <c r="A17" s="33">
        <v>45553</v>
      </c>
      <c r="B17" s="18" t="s">
        <v>0</v>
      </c>
      <c r="C17" s="18" t="s">
        <v>1</v>
      </c>
      <c r="D17" s="16" t="s">
        <v>18</v>
      </c>
      <c r="E17" s="22">
        <v>16</v>
      </c>
      <c r="F17" s="19">
        <v>15.99</v>
      </c>
      <c r="G17" s="34">
        <v>255.84</v>
      </c>
    </row>
    <row r="18" spans="1:58" ht="18.5" x14ac:dyDescent="0.35">
      <c r="A18" s="33">
        <v>45570</v>
      </c>
      <c r="B18" s="18" t="s">
        <v>3</v>
      </c>
      <c r="C18" s="18" t="s">
        <v>13</v>
      </c>
      <c r="D18" s="16" t="s">
        <v>5</v>
      </c>
      <c r="E18" s="22">
        <v>28</v>
      </c>
      <c r="F18" s="19">
        <v>8.99</v>
      </c>
      <c r="G18" s="34">
        <v>251.72</v>
      </c>
    </row>
    <row r="19" spans="1:58" ht="18.5" x14ac:dyDescent="0.35">
      <c r="A19" s="33">
        <v>45587</v>
      </c>
      <c r="B19" s="18" t="s">
        <v>0</v>
      </c>
      <c r="C19" s="18" t="s">
        <v>1</v>
      </c>
      <c r="D19" s="16" t="s">
        <v>8</v>
      </c>
      <c r="E19" s="22">
        <v>64</v>
      </c>
      <c r="F19" s="19">
        <v>8.99</v>
      </c>
      <c r="G19" s="34">
        <v>575.36</v>
      </c>
    </row>
    <row r="20" spans="1:58" ht="18.5" x14ac:dyDescent="0.35">
      <c r="A20" s="33">
        <v>45604</v>
      </c>
      <c r="B20" s="18" t="s">
        <v>0</v>
      </c>
      <c r="C20" s="18" t="s">
        <v>15</v>
      </c>
      <c r="D20" s="16" t="s">
        <v>8</v>
      </c>
      <c r="E20" s="22">
        <v>15</v>
      </c>
      <c r="F20" s="19">
        <v>19.989999999999998</v>
      </c>
      <c r="G20" s="34">
        <v>299.84999999999997</v>
      </c>
    </row>
    <row r="21" spans="1:58" ht="18.5" x14ac:dyDescent="0.35">
      <c r="A21" s="33">
        <v>45621</v>
      </c>
      <c r="B21" s="18" t="s">
        <v>3</v>
      </c>
      <c r="C21" s="18" t="s">
        <v>4</v>
      </c>
      <c r="D21" s="16" t="s">
        <v>18</v>
      </c>
      <c r="E21" s="22">
        <v>96</v>
      </c>
      <c r="F21" s="19">
        <v>4.99</v>
      </c>
      <c r="G21" s="34">
        <v>479.04</v>
      </c>
    </row>
    <row r="22" spans="1:58" ht="18.5" x14ac:dyDescent="0.35">
      <c r="A22" s="33">
        <v>45638</v>
      </c>
      <c r="B22" s="18" t="s">
        <v>3</v>
      </c>
      <c r="C22" s="18" t="s">
        <v>16</v>
      </c>
      <c r="D22" s="16" t="s">
        <v>2</v>
      </c>
      <c r="E22" s="22">
        <v>67</v>
      </c>
      <c r="F22" s="19">
        <v>1.29</v>
      </c>
      <c r="G22" s="34">
        <v>86.43</v>
      </c>
      <c r="I22"/>
      <c r="J22"/>
    </row>
    <row r="23" spans="1:58" ht="18.5" x14ac:dyDescent="0.35">
      <c r="A23" s="33">
        <v>45655</v>
      </c>
      <c r="B23" s="18" t="s">
        <v>0</v>
      </c>
      <c r="C23" s="18" t="s">
        <v>15</v>
      </c>
      <c r="D23" s="16" t="s">
        <v>18</v>
      </c>
      <c r="E23" s="22">
        <v>74</v>
      </c>
      <c r="F23" s="19">
        <v>15.99</v>
      </c>
      <c r="G23" s="34">
        <v>1183.26</v>
      </c>
    </row>
    <row r="24" spans="1:58" ht="18.5" x14ac:dyDescent="0.35">
      <c r="A24" s="33">
        <v>45672</v>
      </c>
      <c r="B24" s="18" t="s">
        <v>3</v>
      </c>
      <c r="C24" s="18" t="s">
        <v>7</v>
      </c>
      <c r="D24" s="16" t="s">
        <v>5</v>
      </c>
      <c r="E24" s="22">
        <v>46</v>
      </c>
      <c r="F24" s="19">
        <v>8.99</v>
      </c>
      <c r="G24" s="34">
        <v>413.54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58" ht="18.5" x14ac:dyDescent="0.35">
      <c r="A25" s="33">
        <v>45689</v>
      </c>
      <c r="B25" s="18" t="s">
        <v>3</v>
      </c>
      <c r="C25" s="18" t="s">
        <v>16</v>
      </c>
      <c r="D25" s="16" t="s">
        <v>5</v>
      </c>
      <c r="E25" s="22">
        <v>87</v>
      </c>
      <c r="F25" s="19">
        <v>15</v>
      </c>
      <c r="G25" s="34">
        <v>1305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ht="18.5" x14ac:dyDescent="0.35">
      <c r="A26" s="33">
        <v>45706</v>
      </c>
      <c r="B26" s="18" t="s">
        <v>0</v>
      </c>
      <c r="C26" s="18" t="s">
        <v>1</v>
      </c>
      <c r="D26" s="16" t="s">
        <v>5</v>
      </c>
      <c r="E26" s="22">
        <v>4</v>
      </c>
      <c r="F26" s="19">
        <v>4.99</v>
      </c>
      <c r="G26" s="34">
        <v>19.96</v>
      </c>
      <c r="I26" s="4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ht="18.5" x14ac:dyDescent="0.35">
      <c r="A27" s="33">
        <v>45723</v>
      </c>
      <c r="B27" s="18" t="s">
        <v>9</v>
      </c>
      <c r="C27" s="18" t="s">
        <v>10</v>
      </c>
      <c r="D27" s="16" t="s">
        <v>5</v>
      </c>
      <c r="E27" s="22">
        <v>7</v>
      </c>
      <c r="F27" s="19">
        <v>19.989999999999998</v>
      </c>
      <c r="G27" s="34">
        <v>139.92999999999998</v>
      </c>
      <c r="I27" s="46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ht="18.5" x14ac:dyDescent="0.35">
      <c r="A28" s="33">
        <v>45740</v>
      </c>
      <c r="B28" s="18" t="s">
        <v>3</v>
      </c>
      <c r="C28" s="18" t="s">
        <v>6</v>
      </c>
      <c r="D28" s="16" t="s">
        <v>18</v>
      </c>
      <c r="E28" s="22">
        <v>50</v>
      </c>
      <c r="F28" s="19">
        <v>4.99</v>
      </c>
      <c r="G28" s="34">
        <v>249.5</v>
      </c>
      <c r="I28" s="46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1:58" ht="18.5" x14ac:dyDescent="0.35">
      <c r="A29" s="33">
        <v>45757</v>
      </c>
      <c r="B29" s="18" t="s">
        <v>3</v>
      </c>
      <c r="C29" s="18" t="s">
        <v>11</v>
      </c>
      <c r="D29" s="16" t="s">
        <v>2</v>
      </c>
      <c r="E29" s="22">
        <v>66</v>
      </c>
      <c r="F29" s="19">
        <v>1.99</v>
      </c>
      <c r="G29" s="34">
        <v>131.34</v>
      </c>
      <c r="I29" s="46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1:58" ht="18.5" x14ac:dyDescent="0.35">
      <c r="A30" s="33">
        <v>45774</v>
      </c>
      <c r="B30" s="18" t="s">
        <v>0</v>
      </c>
      <c r="C30" s="18" t="s">
        <v>14</v>
      </c>
      <c r="D30" s="16" t="s">
        <v>8</v>
      </c>
      <c r="E30" s="22">
        <v>96</v>
      </c>
      <c r="F30" s="19">
        <v>4.99</v>
      </c>
      <c r="G30" s="34">
        <v>479.04</v>
      </c>
      <c r="I30" s="46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1:58" ht="18.5" x14ac:dyDescent="0.35">
      <c r="A31" s="33">
        <v>45791</v>
      </c>
      <c r="B31" s="18" t="s">
        <v>3</v>
      </c>
      <c r="C31" s="18" t="s">
        <v>7</v>
      </c>
      <c r="D31" s="16" t="s">
        <v>2</v>
      </c>
      <c r="E31" s="22">
        <v>53</v>
      </c>
      <c r="F31" s="19">
        <v>1.29</v>
      </c>
      <c r="G31" s="34">
        <v>68.37</v>
      </c>
      <c r="I31" s="46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1:58" ht="18.5" x14ac:dyDescent="0.35">
      <c r="A32" s="33">
        <v>45808</v>
      </c>
      <c r="B32" s="18" t="s">
        <v>3</v>
      </c>
      <c r="C32" s="18" t="s">
        <v>7</v>
      </c>
      <c r="D32" s="16" t="s">
        <v>5</v>
      </c>
      <c r="E32" s="22">
        <v>80</v>
      </c>
      <c r="F32" s="19">
        <v>8.99</v>
      </c>
      <c r="G32" s="34">
        <v>719.2</v>
      </c>
      <c r="I32" s="46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1:55" ht="18.5" x14ac:dyDescent="0.35">
      <c r="A33" s="33">
        <v>45825</v>
      </c>
      <c r="B33" s="18" t="s">
        <v>3</v>
      </c>
      <c r="C33" s="18" t="s">
        <v>4</v>
      </c>
      <c r="D33" s="16" t="s">
        <v>17</v>
      </c>
      <c r="E33" s="22">
        <v>5</v>
      </c>
      <c r="F33" s="19">
        <v>125</v>
      </c>
      <c r="G33" s="34">
        <v>625</v>
      </c>
      <c r="I33" s="46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1:55" ht="18.5" x14ac:dyDescent="0.35">
      <c r="A34" s="33">
        <v>45842</v>
      </c>
      <c r="B34" s="18" t="s">
        <v>0</v>
      </c>
      <c r="C34" s="18" t="s">
        <v>1</v>
      </c>
      <c r="D34" s="16" t="s">
        <v>18</v>
      </c>
      <c r="E34" s="22">
        <v>62</v>
      </c>
      <c r="F34" s="19">
        <v>4.99</v>
      </c>
      <c r="G34" s="34">
        <v>309.38</v>
      </c>
      <c r="I34" s="46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1:55" ht="18.5" x14ac:dyDescent="0.35">
      <c r="A35" s="33">
        <v>45859</v>
      </c>
      <c r="B35" s="18" t="s">
        <v>3</v>
      </c>
      <c r="C35" s="18" t="s">
        <v>13</v>
      </c>
      <c r="D35" s="16" t="s">
        <v>18</v>
      </c>
      <c r="E35" s="22">
        <v>55</v>
      </c>
      <c r="F35" s="19">
        <v>12.49</v>
      </c>
      <c r="G35" s="34">
        <v>686.95</v>
      </c>
      <c r="I35" s="46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1:55" ht="18.5" x14ac:dyDescent="0.35">
      <c r="A36" s="33">
        <v>45876</v>
      </c>
      <c r="B36" s="18" t="s">
        <v>3</v>
      </c>
      <c r="C36" s="18" t="s">
        <v>4</v>
      </c>
      <c r="D36" s="16" t="s">
        <v>18</v>
      </c>
      <c r="E36" s="22">
        <v>42</v>
      </c>
      <c r="F36" s="19">
        <v>23.95</v>
      </c>
      <c r="G36" s="34">
        <v>1005.9</v>
      </c>
      <c r="I36" s="4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1:55" ht="18.5" x14ac:dyDescent="0.35">
      <c r="A37" s="33">
        <v>45893</v>
      </c>
      <c r="B37" s="18" t="s">
        <v>9</v>
      </c>
      <c r="C37" s="18" t="s">
        <v>10</v>
      </c>
      <c r="D37" s="16" t="s">
        <v>17</v>
      </c>
      <c r="E37" s="22">
        <v>3</v>
      </c>
      <c r="F37" s="19">
        <v>275</v>
      </c>
      <c r="G37" s="34">
        <v>825</v>
      </c>
      <c r="I37" s="46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1:55" ht="18.5" x14ac:dyDescent="0.35">
      <c r="A38" s="33">
        <v>45910</v>
      </c>
      <c r="B38" s="18" t="s">
        <v>3</v>
      </c>
      <c r="C38" s="18" t="s">
        <v>7</v>
      </c>
      <c r="D38" s="16" t="s">
        <v>2</v>
      </c>
      <c r="E38" s="22">
        <v>7</v>
      </c>
      <c r="F38" s="19">
        <v>1.29</v>
      </c>
      <c r="G38" s="34">
        <v>9.0300000000000011</v>
      </c>
      <c r="I38" s="46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1:55" ht="18.5" x14ac:dyDescent="0.35">
      <c r="A39" s="33">
        <v>45927</v>
      </c>
      <c r="B39" s="18" t="s">
        <v>9</v>
      </c>
      <c r="C39" s="18" t="s">
        <v>10</v>
      </c>
      <c r="D39" s="16" t="s">
        <v>8</v>
      </c>
      <c r="E39" s="22">
        <v>76</v>
      </c>
      <c r="F39" s="19">
        <v>1.99</v>
      </c>
      <c r="G39" s="34">
        <v>151.24</v>
      </c>
      <c r="I39" s="46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1:55" ht="18.5" x14ac:dyDescent="0.35">
      <c r="A40" s="33">
        <v>45944</v>
      </c>
      <c r="B40" s="18" t="s">
        <v>9</v>
      </c>
      <c r="C40" s="18" t="s">
        <v>12</v>
      </c>
      <c r="D40" s="16" t="s">
        <v>5</v>
      </c>
      <c r="E40" s="22">
        <v>57</v>
      </c>
      <c r="F40" s="19">
        <v>19.989999999999998</v>
      </c>
      <c r="G40" s="34">
        <v>1139.4299999999998</v>
      </c>
      <c r="I40" s="46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1:55" ht="18.5" x14ac:dyDescent="0.35">
      <c r="A41" s="33">
        <v>45961</v>
      </c>
      <c r="B41" s="18" t="s">
        <v>3</v>
      </c>
      <c r="C41" s="18" t="s">
        <v>11</v>
      </c>
      <c r="D41" s="16" t="s">
        <v>2</v>
      </c>
      <c r="E41" s="22">
        <v>14</v>
      </c>
      <c r="F41" s="19">
        <v>1.29</v>
      </c>
      <c r="G41" s="34">
        <v>18.060000000000002</v>
      </c>
      <c r="I41" s="46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1:55" ht="18.5" x14ac:dyDescent="0.35">
      <c r="A42" s="33">
        <v>45978</v>
      </c>
      <c r="B42" s="18" t="s">
        <v>3</v>
      </c>
      <c r="C42" s="18" t="s">
        <v>6</v>
      </c>
      <c r="D42" s="16" t="s">
        <v>5</v>
      </c>
      <c r="E42" s="22">
        <v>11</v>
      </c>
      <c r="F42" s="19">
        <v>4.99</v>
      </c>
      <c r="G42" s="34">
        <v>54.89</v>
      </c>
      <c r="I42" s="46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1:55" ht="18.5" x14ac:dyDescent="0.35">
      <c r="A43" s="33">
        <v>45995</v>
      </c>
      <c r="B43" s="18" t="s">
        <v>3</v>
      </c>
      <c r="C43" s="18" t="s">
        <v>6</v>
      </c>
      <c r="D43" s="16" t="s">
        <v>5</v>
      </c>
      <c r="E43" s="22">
        <v>94</v>
      </c>
      <c r="F43" s="19">
        <v>19.989999999999998</v>
      </c>
      <c r="G43" s="34">
        <v>1879.06</v>
      </c>
      <c r="I43" s="46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1:55" ht="18.5" x14ac:dyDescent="0.35">
      <c r="A44" s="40">
        <v>46012</v>
      </c>
      <c r="B44" s="41" t="s">
        <v>3</v>
      </c>
      <c r="C44" s="41" t="s">
        <v>11</v>
      </c>
      <c r="D44" s="42" t="s">
        <v>5</v>
      </c>
      <c r="E44" s="43">
        <v>28</v>
      </c>
      <c r="F44" s="44">
        <v>4.99</v>
      </c>
      <c r="G44" s="45">
        <v>139.72</v>
      </c>
      <c r="I44" s="46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</sheetData>
  <dataConsolidate/>
  <dataValidations count="4">
    <dataValidation type="list" allowBlank="1" showInputMessage="1" showErrorMessage="1" sqref="B1 B3:B1048576">
      <formula1>"east,central,west"</formula1>
    </dataValidation>
    <dataValidation type="whole" allowBlank="1" showInputMessage="1" showErrorMessage="1" sqref="E2">
      <formula1>1</formula1>
      <formula2>100</formula2>
    </dataValidation>
    <dataValidation type="list" allowBlank="1" showInputMessage="1" showErrorMessage="1" sqref="B2">
      <formula1>"East,Central,West"</formula1>
    </dataValidation>
    <dataValidation type="list" allowBlank="1" showInputMessage="1" showErrorMessage="1" sqref="D1:D1048576">
      <formula1>"east,central,west,"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21" sqref="F21"/>
    </sheetView>
  </sheetViews>
  <sheetFormatPr defaultRowHeight="14.5" x14ac:dyDescent="0.35"/>
  <cols>
    <col min="2" max="2" width="12.08984375" customWidth="1"/>
  </cols>
  <sheetData>
    <row r="1" spans="1:2" ht="18.5" x14ac:dyDescent="0.35">
      <c r="A1" s="50" t="s">
        <v>22</v>
      </c>
      <c r="B1" s="51" t="s">
        <v>25</v>
      </c>
    </row>
    <row r="2" spans="1:2" ht="18.5" x14ac:dyDescent="0.35">
      <c r="A2" s="16" t="s">
        <v>5</v>
      </c>
      <c r="B2" s="24">
        <v>9577.65</v>
      </c>
    </row>
    <row r="3" spans="1:2" ht="18.5" x14ac:dyDescent="0.35">
      <c r="A3" s="16" t="s">
        <v>17</v>
      </c>
      <c r="B3" s="24">
        <v>1700</v>
      </c>
    </row>
    <row r="4" spans="1:2" ht="18.5" x14ac:dyDescent="0.35">
      <c r="A4" s="16" t="s">
        <v>8</v>
      </c>
      <c r="B4" s="20">
        <v>2045.2199999999998</v>
      </c>
    </row>
    <row r="5" spans="1:2" ht="18.5" x14ac:dyDescent="0.35">
      <c r="A5" s="16" t="s">
        <v>18</v>
      </c>
      <c r="B5" s="20">
        <v>4169.87</v>
      </c>
    </row>
    <row r="6" spans="1:2" ht="18.5" x14ac:dyDescent="0.35">
      <c r="A6" s="16" t="s">
        <v>2</v>
      </c>
      <c r="B6" s="20">
        <v>2135.1400000000003</v>
      </c>
    </row>
    <row r="7" spans="1:2" ht="18.5" x14ac:dyDescent="0.35">
      <c r="A7" s="52" t="s">
        <v>25</v>
      </c>
      <c r="B7" s="24">
        <f>SUM(B2:B6)</f>
        <v>19627.879999999997</v>
      </c>
    </row>
  </sheetData>
  <dataValidations count="1">
    <dataValidation type="list" allowBlank="1" showInputMessage="1" showErrorMessage="1" sqref="A1:A6">
      <formula1>"east,central,west,"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48"/>
  <sheetViews>
    <sheetView tabSelected="1" workbookViewId="0">
      <selection activeCell="H15" sqref="H15"/>
    </sheetView>
  </sheetViews>
  <sheetFormatPr defaultRowHeight="14.5" x14ac:dyDescent="0.35"/>
  <cols>
    <col min="1" max="1" width="12.36328125" customWidth="1"/>
    <col min="2" max="2" width="15.26953125" customWidth="1"/>
    <col min="3" max="3" width="4.90625" bestFit="1" customWidth="1"/>
    <col min="4" max="5" width="7.81640625" customWidth="1"/>
    <col min="6" max="6" width="7.81640625" bestFit="1" customWidth="1"/>
    <col min="7" max="7" width="10.7265625" bestFit="1" customWidth="1"/>
  </cols>
  <sheetData>
    <row r="3" spans="1:7" x14ac:dyDescent="0.35">
      <c r="A3" s="32" t="s">
        <v>35</v>
      </c>
      <c r="B3" s="32" t="s">
        <v>36</v>
      </c>
    </row>
    <row r="4" spans="1:7" x14ac:dyDescent="0.35">
      <c r="A4" s="32" t="s">
        <v>33</v>
      </c>
      <c r="B4" t="s">
        <v>5</v>
      </c>
      <c r="C4" t="s">
        <v>17</v>
      </c>
      <c r="D4" t="s">
        <v>8</v>
      </c>
      <c r="E4" t="s">
        <v>18</v>
      </c>
      <c r="F4" t="s">
        <v>2</v>
      </c>
      <c r="G4" t="s">
        <v>34</v>
      </c>
    </row>
    <row r="5" spans="1:7" x14ac:dyDescent="0.35">
      <c r="A5" s="46">
        <v>45297</v>
      </c>
      <c r="B5" s="49"/>
      <c r="C5" s="49"/>
      <c r="D5" s="49"/>
      <c r="E5" s="49"/>
      <c r="F5" s="49">
        <v>189.05</v>
      </c>
      <c r="G5" s="49">
        <v>189.05</v>
      </c>
    </row>
    <row r="6" spans="1:7" x14ac:dyDescent="0.35">
      <c r="A6" s="48">
        <v>45314</v>
      </c>
      <c r="B6" s="49">
        <v>999.49999999999989</v>
      </c>
      <c r="C6" s="49"/>
      <c r="D6" s="49"/>
      <c r="E6" s="49"/>
      <c r="F6" s="49"/>
      <c r="G6" s="49">
        <v>999.49999999999989</v>
      </c>
    </row>
    <row r="7" spans="1:7" x14ac:dyDescent="0.35">
      <c r="A7" s="46">
        <v>45331</v>
      </c>
      <c r="B7" s="49"/>
      <c r="C7" s="49"/>
      <c r="D7" s="49"/>
      <c r="E7" s="49"/>
      <c r="F7" s="49">
        <v>179.64000000000001</v>
      </c>
      <c r="G7" s="49">
        <v>179.64000000000001</v>
      </c>
    </row>
    <row r="8" spans="1:7" x14ac:dyDescent="0.35">
      <c r="A8" s="48">
        <v>45348</v>
      </c>
      <c r="B8" s="49"/>
      <c r="C8" s="49"/>
      <c r="D8" s="49">
        <v>539.7299999999999</v>
      </c>
      <c r="E8" s="49"/>
      <c r="F8" s="49"/>
      <c r="G8" s="49">
        <v>539.7299999999999</v>
      </c>
    </row>
    <row r="9" spans="1:7" x14ac:dyDescent="0.35">
      <c r="A9" s="46">
        <v>45366</v>
      </c>
      <c r="B9" s="49"/>
      <c r="C9" s="49"/>
      <c r="D9" s="49"/>
      <c r="E9" s="49"/>
      <c r="F9" s="49">
        <v>167.44</v>
      </c>
      <c r="G9" s="49">
        <v>167.44</v>
      </c>
    </row>
    <row r="10" spans="1:7" x14ac:dyDescent="0.35">
      <c r="A10" s="48">
        <v>45383</v>
      </c>
      <c r="B10" s="49">
        <v>299.40000000000003</v>
      </c>
      <c r="C10" s="49"/>
      <c r="D10" s="49"/>
      <c r="E10" s="49"/>
      <c r="F10" s="49"/>
      <c r="G10" s="49">
        <v>299.40000000000003</v>
      </c>
    </row>
    <row r="11" spans="1:7" x14ac:dyDescent="0.35">
      <c r="A11" s="46">
        <v>45400</v>
      </c>
      <c r="B11" s="49"/>
      <c r="C11" s="49"/>
      <c r="D11" s="49"/>
      <c r="E11" s="49"/>
      <c r="F11" s="49">
        <v>149.25</v>
      </c>
      <c r="G11" s="49">
        <v>149.25</v>
      </c>
    </row>
    <row r="12" spans="1:7" x14ac:dyDescent="0.35">
      <c r="A12" s="46">
        <v>45417</v>
      </c>
      <c r="B12" s="49"/>
      <c r="C12" s="49"/>
      <c r="D12" s="49"/>
      <c r="E12" s="49"/>
      <c r="F12" s="49">
        <v>449.1</v>
      </c>
      <c r="G12" s="49">
        <v>449.1</v>
      </c>
    </row>
    <row r="13" spans="1:7" x14ac:dyDescent="0.35">
      <c r="A13" s="46">
        <v>45434</v>
      </c>
      <c r="B13" s="49"/>
      <c r="C13" s="49"/>
      <c r="D13" s="49"/>
      <c r="E13" s="49"/>
      <c r="F13" s="49">
        <v>63.68</v>
      </c>
      <c r="G13" s="49">
        <v>63.68</v>
      </c>
    </row>
    <row r="14" spans="1:7" x14ac:dyDescent="0.35">
      <c r="A14" s="48">
        <v>45451</v>
      </c>
      <c r="B14" s="49">
        <v>539.4</v>
      </c>
      <c r="C14" s="49"/>
      <c r="D14" s="49"/>
      <c r="E14" s="49"/>
      <c r="F14" s="49"/>
      <c r="G14" s="49">
        <v>539.4</v>
      </c>
    </row>
    <row r="15" spans="1:7" x14ac:dyDescent="0.35">
      <c r="A15" s="46">
        <v>45468</v>
      </c>
      <c r="B15" s="49"/>
      <c r="C15" s="49"/>
      <c r="D15" s="49"/>
      <c r="E15" s="49"/>
      <c r="F15" s="49">
        <v>449.1</v>
      </c>
      <c r="G15" s="49">
        <v>449.1</v>
      </c>
    </row>
    <row r="16" spans="1:7" x14ac:dyDescent="0.35">
      <c r="A16" s="48">
        <v>45485</v>
      </c>
      <c r="B16" s="49">
        <v>57.71</v>
      </c>
      <c r="C16" s="49"/>
      <c r="D16" s="49"/>
      <c r="E16" s="49"/>
      <c r="F16" s="49"/>
      <c r="G16" s="49">
        <v>57.71</v>
      </c>
    </row>
    <row r="17" spans="1:7" x14ac:dyDescent="0.35">
      <c r="A17" s="48">
        <v>45502</v>
      </c>
      <c r="B17" s="49">
        <v>1619.1899999999998</v>
      </c>
      <c r="C17" s="49"/>
      <c r="D17" s="49"/>
      <c r="E17" s="49"/>
      <c r="F17" s="49"/>
      <c r="G17" s="49">
        <v>1619.1899999999998</v>
      </c>
    </row>
    <row r="18" spans="1:7" x14ac:dyDescent="0.35">
      <c r="A18" s="46">
        <v>45519</v>
      </c>
      <c r="B18" s="49"/>
      <c r="C18" s="49"/>
      <c r="D18" s="49"/>
      <c r="E18" s="49"/>
      <c r="F18" s="49">
        <v>174.65</v>
      </c>
      <c r="G18" s="49">
        <v>174.65</v>
      </c>
    </row>
    <row r="19" spans="1:7" x14ac:dyDescent="0.35">
      <c r="A19" s="48">
        <v>45536</v>
      </c>
      <c r="B19" s="49"/>
      <c r="C19" s="49">
        <v>250</v>
      </c>
      <c r="D19" s="49"/>
      <c r="E19" s="49"/>
      <c r="F19" s="49"/>
      <c r="G19" s="49">
        <v>250</v>
      </c>
    </row>
    <row r="20" spans="1:7" x14ac:dyDescent="0.35">
      <c r="A20" s="48">
        <v>45553</v>
      </c>
      <c r="B20" s="49"/>
      <c r="C20" s="49"/>
      <c r="D20" s="49"/>
      <c r="E20" s="49">
        <v>255.84</v>
      </c>
      <c r="F20" s="49"/>
      <c r="G20" s="49">
        <v>255.84</v>
      </c>
    </row>
    <row r="21" spans="1:7" x14ac:dyDescent="0.35">
      <c r="A21" s="48">
        <v>45570</v>
      </c>
      <c r="B21" s="49">
        <v>251.72</v>
      </c>
      <c r="C21" s="49"/>
      <c r="D21" s="49"/>
      <c r="E21" s="49"/>
      <c r="F21" s="49"/>
      <c r="G21" s="49">
        <v>251.72</v>
      </c>
    </row>
    <row r="22" spans="1:7" x14ac:dyDescent="0.35">
      <c r="A22" s="48">
        <v>45587</v>
      </c>
      <c r="B22" s="49"/>
      <c r="C22" s="49"/>
      <c r="D22" s="49">
        <v>575.36</v>
      </c>
      <c r="E22" s="49"/>
      <c r="F22" s="49"/>
      <c r="G22" s="49">
        <v>575.36</v>
      </c>
    </row>
    <row r="23" spans="1:7" x14ac:dyDescent="0.35">
      <c r="A23" s="48">
        <v>45604</v>
      </c>
      <c r="B23" s="49"/>
      <c r="C23" s="49"/>
      <c r="D23" s="49">
        <v>299.84999999999997</v>
      </c>
      <c r="E23" s="49"/>
      <c r="F23" s="49"/>
      <c r="G23" s="49">
        <v>299.84999999999997</v>
      </c>
    </row>
    <row r="24" spans="1:7" x14ac:dyDescent="0.35">
      <c r="A24" s="48">
        <v>45621</v>
      </c>
      <c r="B24" s="49"/>
      <c r="C24" s="49"/>
      <c r="D24" s="49"/>
      <c r="E24" s="49">
        <v>479.04</v>
      </c>
      <c r="F24" s="49"/>
      <c r="G24" s="49">
        <v>479.04</v>
      </c>
    </row>
    <row r="25" spans="1:7" x14ac:dyDescent="0.35">
      <c r="A25" s="46">
        <v>45638</v>
      </c>
      <c r="B25" s="49"/>
      <c r="C25" s="49"/>
      <c r="D25" s="49"/>
      <c r="E25" s="49"/>
      <c r="F25" s="49">
        <v>86.43</v>
      </c>
      <c r="G25" s="49">
        <v>86.43</v>
      </c>
    </row>
    <row r="26" spans="1:7" x14ac:dyDescent="0.35">
      <c r="A26" s="48">
        <v>45655</v>
      </c>
      <c r="B26" s="49"/>
      <c r="C26" s="49"/>
      <c r="D26" s="49"/>
      <c r="E26" s="49">
        <v>1183.26</v>
      </c>
      <c r="F26" s="49"/>
      <c r="G26" s="49">
        <v>1183.26</v>
      </c>
    </row>
    <row r="27" spans="1:7" x14ac:dyDescent="0.35">
      <c r="A27" s="48">
        <v>45672</v>
      </c>
      <c r="B27" s="49">
        <v>413.54</v>
      </c>
      <c r="C27" s="49"/>
      <c r="D27" s="49"/>
      <c r="E27" s="49"/>
      <c r="F27" s="49"/>
      <c r="G27" s="49">
        <v>413.54</v>
      </c>
    </row>
    <row r="28" spans="1:7" x14ac:dyDescent="0.35">
      <c r="A28" s="48">
        <v>45689</v>
      </c>
      <c r="B28" s="49">
        <v>1305</v>
      </c>
      <c r="C28" s="49"/>
      <c r="D28" s="49"/>
      <c r="E28" s="49"/>
      <c r="F28" s="49"/>
      <c r="G28" s="49">
        <v>1305</v>
      </c>
    </row>
    <row r="29" spans="1:7" x14ac:dyDescent="0.35">
      <c r="A29" s="48">
        <v>45706</v>
      </c>
      <c r="B29" s="49">
        <v>19.96</v>
      </c>
      <c r="C29" s="49"/>
      <c r="D29" s="49"/>
      <c r="E29" s="49"/>
      <c r="F29" s="49"/>
      <c r="G29" s="49">
        <v>19.96</v>
      </c>
    </row>
    <row r="30" spans="1:7" x14ac:dyDescent="0.35">
      <c r="A30" s="48">
        <v>45723</v>
      </c>
      <c r="B30" s="49">
        <v>139.92999999999998</v>
      </c>
      <c r="C30" s="49"/>
      <c r="D30" s="49"/>
      <c r="E30" s="49"/>
      <c r="F30" s="49"/>
      <c r="G30" s="49">
        <v>139.92999999999998</v>
      </c>
    </row>
    <row r="31" spans="1:7" x14ac:dyDescent="0.35">
      <c r="A31" s="48">
        <v>45740</v>
      </c>
      <c r="B31" s="49"/>
      <c r="C31" s="49"/>
      <c r="D31" s="49"/>
      <c r="E31" s="49">
        <v>249.5</v>
      </c>
      <c r="F31" s="49"/>
      <c r="G31" s="49">
        <v>249.5</v>
      </c>
    </row>
    <row r="32" spans="1:7" x14ac:dyDescent="0.35">
      <c r="A32" s="46">
        <v>45757</v>
      </c>
      <c r="B32" s="49"/>
      <c r="C32" s="49"/>
      <c r="D32" s="49"/>
      <c r="E32" s="49"/>
      <c r="F32" s="49">
        <v>131.34</v>
      </c>
      <c r="G32" s="49">
        <v>131.34</v>
      </c>
    </row>
    <row r="33" spans="1:7" x14ac:dyDescent="0.35">
      <c r="A33" s="48">
        <v>45774</v>
      </c>
      <c r="B33" s="49"/>
      <c r="C33" s="49"/>
      <c r="D33" s="49">
        <v>479.04</v>
      </c>
      <c r="E33" s="49"/>
      <c r="F33" s="49"/>
      <c r="G33" s="49">
        <v>479.04</v>
      </c>
    </row>
    <row r="34" spans="1:7" x14ac:dyDescent="0.35">
      <c r="A34" s="46">
        <v>45791</v>
      </c>
      <c r="B34" s="49"/>
      <c r="C34" s="49"/>
      <c r="D34" s="49"/>
      <c r="E34" s="49"/>
      <c r="F34" s="49">
        <v>68.37</v>
      </c>
      <c r="G34" s="49">
        <v>68.37</v>
      </c>
    </row>
    <row r="35" spans="1:7" x14ac:dyDescent="0.35">
      <c r="A35" s="48">
        <v>45808</v>
      </c>
      <c r="B35" s="49">
        <v>719.2</v>
      </c>
      <c r="C35" s="49"/>
      <c r="D35" s="49"/>
      <c r="E35" s="49"/>
      <c r="F35" s="49"/>
      <c r="G35" s="49">
        <v>719.2</v>
      </c>
    </row>
    <row r="36" spans="1:7" x14ac:dyDescent="0.35">
      <c r="A36" s="48">
        <v>45825</v>
      </c>
      <c r="B36" s="49"/>
      <c r="C36" s="49">
        <v>625</v>
      </c>
      <c r="D36" s="49"/>
      <c r="E36" s="49"/>
      <c r="F36" s="49"/>
      <c r="G36" s="49">
        <v>625</v>
      </c>
    </row>
    <row r="37" spans="1:7" x14ac:dyDescent="0.35">
      <c r="A37" s="48">
        <v>45842</v>
      </c>
      <c r="B37" s="49"/>
      <c r="C37" s="49"/>
      <c r="D37" s="49"/>
      <c r="E37" s="49">
        <v>309.38</v>
      </c>
      <c r="F37" s="49"/>
      <c r="G37" s="49">
        <v>309.38</v>
      </c>
    </row>
    <row r="38" spans="1:7" x14ac:dyDescent="0.35">
      <c r="A38" s="48">
        <v>45859</v>
      </c>
      <c r="B38" s="49"/>
      <c r="C38" s="49"/>
      <c r="D38" s="49"/>
      <c r="E38" s="49">
        <v>686.95</v>
      </c>
      <c r="F38" s="49"/>
      <c r="G38" s="49">
        <v>686.95</v>
      </c>
    </row>
    <row r="39" spans="1:7" x14ac:dyDescent="0.35">
      <c r="A39" s="48">
        <v>45876</v>
      </c>
      <c r="B39" s="49"/>
      <c r="C39" s="49"/>
      <c r="D39" s="49"/>
      <c r="E39" s="49">
        <v>1005.9</v>
      </c>
      <c r="F39" s="49"/>
      <c r="G39" s="49">
        <v>1005.9</v>
      </c>
    </row>
    <row r="40" spans="1:7" x14ac:dyDescent="0.35">
      <c r="A40" s="48">
        <v>45893</v>
      </c>
      <c r="B40" s="49"/>
      <c r="C40" s="49">
        <v>825</v>
      </c>
      <c r="D40" s="49"/>
      <c r="E40" s="49"/>
      <c r="F40" s="49"/>
      <c r="G40" s="49">
        <v>825</v>
      </c>
    </row>
    <row r="41" spans="1:7" x14ac:dyDescent="0.35">
      <c r="A41" s="46">
        <v>45910</v>
      </c>
      <c r="B41" s="49"/>
      <c r="C41" s="49"/>
      <c r="D41" s="49"/>
      <c r="E41" s="49"/>
      <c r="F41" s="49">
        <v>9.0300000000000011</v>
      </c>
      <c r="G41" s="49">
        <v>9.0300000000000011</v>
      </c>
    </row>
    <row r="42" spans="1:7" x14ac:dyDescent="0.35">
      <c r="A42" s="48">
        <v>45927</v>
      </c>
      <c r="B42" s="49"/>
      <c r="C42" s="49"/>
      <c r="D42" s="49">
        <v>151.24</v>
      </c>
      <c r="E42" s="49"/>
      <c r="F42" s="49"/>
      <c r="G42" s="49">
        <v>151.24</v>
      </c>
    </row>
    <row r="43" spans="1:7" x14ac:dyDescent="0.35">
      <c r="A43" s="48">
        <v>45944</v>
      </c>
      <c r="B43" s="49">
        <v>1139.4299999999998</v>
      </c>
      <c r="C43" s="49"/>
      <c r="D43" s="49"/>
      <c r="E43" s="49"/>
      <c r="F43" s="49"/>
      <c r="G43" s="49">
        <v>1139.4299999999998</v>
      </c>
    </row>
    <row r="44" spans="1:7" x14ac:dyDescent="0.35">
      <c r="A44" s="46">
        <v>45961</v>
      </c>
      <c r="B44" s="49"/>
      <c r="C44" s="49"/>
      <c r="D44" s="49"/>
      <c r="E44" s="49"/>
      <c r="F44" s="49">
        <v>18.060000000000002</v>
      </c>
      <c r="G44" s="49">
        <v>18.060000000000002</v>
      </c>
    </row>
    <row r="45" spans="1:7" x14ac:dyDescent="0.35">
      <c r="A45" s="48">
        <v>45978</v>
      </c>
      <c r="B45" s="49">
        <v>54.89</v>
      </c>
      <c r="C45" s="49"/>
      <c r="D45" s="49"/>
      <c r="E45" s="49"/>
      <c r="F45" s="49"/>
      <c r="G45" s="49">
        <v>54.89</v>
      </c>
    </row>
    <row r="46" spans="1:7" x14ac:dyDescent="0.35">
      <c r="A46" s="48">
        <v>45995</v>
      </c>
      <c r="B46" s="49">
        <v>1879.06</v>
      </c>
      <c r="C46" s="49"/>
      <c r="D46" s="49"/>
      <c r="E46" s="49"/>
      <c r="F46" s="49"/>
      <c r="G46" s="49">
        <v>1879.06</v>
      </c>
    </row>
    <row r="47" spans="1:7" x14ac:dyDescent="0.35">
      <c r="A47" s="48">
        <v>46012</v>
      </c>
      <c r="B47" s="49">
        <v>139.72</v>
      </c>
      <c r="C47" s="49"/>
      <c r="D47" s="49"/>
      <c r="E47" s="49"/>
      <c r="F47" s="49"/>
      <c r="G47" s="49">
        <v>139.72</v>
      </c>
    </row>
    <row r="48" spans="1:7" x14ac:dyDescent="0.35">
      <c r="A48" s="48" t="s">
        <v>34</v>
      </c>
      <c r="B48" s="49">
        <v>9577.65</v>
      </c>
      <c r="C48" s="49">
        <v>1700</v>
      </c>
      <c r="D48" s="49">
        <v>2045.2199999999998</v>
      </c>
      <c r="E48" s="49">
        <v>4169.87</v>
      </c>
      <c r="F48" s="49">
        <v>2135.1400000000003</v>
      </c>
      <c r="G48" s="49">
        <v>19627.880000000008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Order(original data)</vt:lpstr>
      <vt:lpstr>Sales Order(Clean Data)</vt:lpstr>
      <vt:lpstr>Summary</vt:lpstr>
      <vt:lpstr>Pivot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2025-11-07T11:37:45Z</dcterms:modified>
</cp:coreProperties>
</file>